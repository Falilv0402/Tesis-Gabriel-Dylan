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70" yWindow="1440" windowWidth="21630" windowHeight="14850" tabRatio="600" firstSheet="0"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rgb="FFFFFFFF"/>
      <sz val="11"/>
    </font>
    <font>
      <name val="Calibri"/>
      <family val="2"/>
      <sz val="10"/>
    </font>
    <font>
      <name val="Aptos Narrow"/>
      <b val="1"/>
      <sz val="10"/>
    </font>
    <font>
      <name val="Aptos Narrow"/>
      <sz val="10"/>
    </font>
    <font>
      <name val="Calibri"/>
      <family val="2"/>
      <sz val="11"/>
      <scheme val="minor"/>
    </font>
    <font>
      <name val="Calibri"/>
      <family val="2"/>
      <b val="1"/>
      <color theme="1"/>
      <sz val="11"/>
      <scheme val="minor"/>
    </font>
    <font>
      <name val="Arial"/>
      <family val="2"/>
      <color rgb="FF000000"/>
      <sz val="10"/>
    </font>
    <font>
      <name val="Arial"/>
      <family val="2"/>
      <b val="1"/>
      <color rgb="FFFFFFFF"/>
      <sz val="10"/>
    </font>
    <font>
      <name val="Calibri"/>
      <family val="2"/>
      <color rgb="FF000000"/>
      <sz val="11"/>
      <scheme val="minor"/>
    </font>
    <font>
      <name val="Arial"/>
      <family val="2"/>
      <color theme="1"/>
      <sz val="10"/>
    </font>
    <font>
      <name val="Arial"/>
      <family val="2"/>
      <color rgb="FFFF0000"/>
      <sz val="10"/>
    </font>
    <font>
      <name val="Calibri"/>
      <family val="2"/>
      <sz val="8"/>
      <scheme val="minor"/>
    </font>
  </fonts>
  <fills count="20">
    <fill>
      <patternFill/>
    </fill>
    <fill>
      <patternFill patternType="gray125"/>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0000"/>
        <bgColor rgb="FF000000"/>
      </patternFill>
    </fill>
    <fill>
      <patternFill patternType="solid">
        <fgColor rgb="FFD8E4BC"/>
        <bgColor indexed="64"/>
      </patternFill>
    </fill>
    <fill>
      <patternFill patternType="solid">
        <fgColor rgb="FFFCD5B4"/>
        <bgColor indexed="64"/>
      </patternFill>
    </fill>
    <fill>
      <patternFill patternType="solid">
        <fgColor rgb="FFF2DCDB"/>
        <bgColor indexed="64"/>
      </patternFill>
    </fill>
    <fill>
      <patternFill patternType="solid">
        <fgColor rgb="FFC5D9F1"/>
        <bgColor indexed="64"/>
      </patternFill>
    </fill>
    <fill>
      <patternFill patternType="solid">
        <fgColor rgb="FFDAEEF3"/>
        <bgColor indexed="64"/>
      </patternFill>
    </fill>
    <fill>
      <patternFill patternType="solid">
        <fgColor rgb="FFE4DFEC"/>
        <bgColor indexed="64"/>
      </patternFill>
    </fill>
    <fill>
      <patternFill patternType="solid">
        <fgColor theme="5" tint="0.3999755851924192"/>
        <bgColor indexed="64"/>
      </patternFill>
    </fill>
    <fill>
      <patternFill patternType="solid">
        <fgColor rgb="FFFFFFFF"/>
        <bgColor indexed="64"/>
      </patternFill>
    </fill>
    <fill>
      <patternFill patternType="solid">
        <fgColor theme="8" tint="0.5999938962981048"/>
        <bgColor indexed="64"/>
      </patternFill>
    </fill>
    <fill>
      <patternFill patternType="solid">
        <fgColor theme="9" tint="0.7999816888943144"/>
        <bgColor indexed="64"/>
      </patternFill>
    </fill>
  </fills>
  <borders count="16">
    <border>
      <left/>
      <right/>
      <top/>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7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0" fillId="0" borderId="0" applyAlignment="1" pivotButton="0" quotePrefix="0" xfId="0">
      <alignment vertical="center"/>
    </xf>
    <xf numFmtId="0" fontId="0" fillId="0" borderId="1" applyAlignment="1" pivotButton="0" quotePrefix="0" xfId="0">
      <alignment vertical="center" wrapText="1"/>
    </xf>
    <xf numFmtId="0" fontId="8" fillId="9" borderId="3" applyAlignment="1" pivotButton="0" quotePrefix="0" xfId="0">
      <alignment horizontal="center" vertical="center" wrapText="1" readingOrder="1"/>
    </xf>
    <xf numFmtId="0" fontId="4" fillId="2" borderId="3" applyAlignment="1" pivotButton="0" quotePrefix="0" xfId="0">
      <alignment horizontal="center" vertical="center" wrapText="1"/>
    </xf>
    <xf numFmtId="0" fontId="4" fillId="3" borderId="3" applyAlignment="1" pivotButton="0" quotePrefix="0" xfId="0">
      <alignment horizontal="center" vertical="center" wrapText="1"/>
    </xf>
    <xf numFmtId="0" fontId="4" fillId="4" borderId="3" applyAlignment="1" pivotButton="0" quotePrefix="0" xfId="0">
      <alignment horizontal="center" vertical="center" wrapText="1"/>
    </xf>
    <xf numFmtId="0" fontId="4" fillId="5" borderId="3" applyAlignment="1" pivotButton="0" quotePrefix="0" xfId="0">
      <alignment horizontal="center" vertical="center" wrapText="1"/>
    </xf>
    <xf numFmtId="0" fontId="4" fillId="6" borderId="3" applyAlignment="1" pivotButton="0" quotePrefix="0" xfId="0">
      <alignment horizontal="center" vertical="center" wrapText="1"/>
    </xf>
    <xf numFmtId="0" fontId="4" fillId="7" borderId="3" applyAlignment="1" pivotButton="0" quotePrefix="0" xfId="0">
      <alignment horizontal="center" vertical="center" wrapText="1"/>
    </xf>
    <xf numFmtId="0" fontId="4" fillId="8" borderId="3" applyAlignment="1" pivotButton="0" quotePrefix="0" xfId="0">
      <alignment horizontal="center" vertical="center" wrapText="1"/>
    </xf>
    <xf numFmtId="0" fontId="0" fillId="0" borderId="0" applyAlignment="1" pivotButton="0" quotePrefix="0" xfId="0">
      <alignment vertical="center" wrapText="1"/>
    </xf>
    <xf numFmtId="0" fontId="0" fillId="0" borderId="3" applyAlignment="1" pivotButton="0" quotePrefix="0" xfId="0">
      <alignment horizontal="left" vertical="center" wrapText="1"/>
    </xf>
    <xf numFmtId="0" fontId="10" fillId="16" borderId="3" applyAlignment="1" pivotButton="0" quotePrefix="0" xfId="0">
      <alignment horizontal="center" vertical="center" wrapText="1" readingOrder="1"/>
    </xf>
    <xf numFmtId="0" fontId="7" fillId="17" borderId="3" applyAlignment="1" pivotButton="0" quotePrefix="0" xfId="0">
      <alignment horizontal="left" vertical="center" wrapText="1" readingOrder="1"/>
    </xf>
    <xf numFmtId="0" fontId="7" fillId="17" borderId="3" applyAlignment="1" pivotButton="0" quotePrefix="0" xfId="0">
      <alignment horizontal="left" vertical="center" wrapText="1" indent="2" readingOrder="1"/>
    </xf>
    <xf numFmtId="0" fontId="10" fillId="18" borderId="3" applyAlignment="1" pivotButton="0" quotePrefix="0" xfId="0">
      <alignment horizontal="center" vertical="center" wrapText="1" readingOrder="1"/>
    </xf>
    <xf numFmtId="0" fontId="0" fillId="0" borderId="3" applyAlignment="1" pivotButton="0" quotePrefix="0" xfId="0">
      <alignment vertical="center" wrapText="1"/>
    </xf>
    <xf numFmtId="0" fontId="6" fillId="0" borderId="3" applyAlignment="1" pivotButton="0" quotePrefix="0" xfId="0">
      <alignment horizontal="right" vertical="center" wrapText="1"/>
    </xf>
    <xf numFmtId="0" fontId="0" fillId="19" borderId="3" applyAlignment="1" pivotButton="0" quotePrefix="0" xfId="0">
      <alignment horizontal="center" vertical="center" wrapText="1"/>
    </xf>
    <xf numFmtId="0" fontId="0" fillId="0" borderId="3" applyAlignment="1" pivotButton="0" quotePrefix="0" xfId="0">
      <alignment vertical="center"/>
    </xf>
    <xf numFmtId="0" fontId="7" fillId="17" borderId="3" applyAlignment="1" pivotButton="0" quotePrefix="0" xfId="0">
      <alignment horizontal="right" vertical="center" wrapText="1" readingOrder="1"/>
    </xf>
    <xf numFmtId="0" fontId="6" fillId="0" borderId="3" applyAlignment="1" pivotButton="0" quotePrefix="0" xfId="0">
      <alignment horizontal="right" vertical="top" wrapText="1"/>
    </xf>
    <xf numFmtId="0" fontId="5" fillId="0" borderId="3"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3" applyAlignment="1" pivotButton="0" quotePrefix="0" xfId="0">
      <alignment horizontal="center" vertical="center" wrapText="1"/>
    </xf>
    <xf numFmtId="0" fontId="0" fillId="16" borderId="3" applyAlignment="1" pivotButton="0" quotePrefix="0" xfId="0">
      <alignment horizontal="center" vertical="center" wrapText="1" readingOrder="1"/>
    </xf>
    <xf numFmtId="0" fontId="0" fillId="18" borderId="3" applyAlignment="1" pivotButton="0" quotePrefix="0" xfId="0">
      <alignment horizontal="center" vertical="center" wrapText="1" readingOrder="1"/>
    </xf>
    <xf numFmtId="0" fontId="3" fillId="13" borderId="4" applyAlignment="1" pivotButton="0" quotePrefix="0" xfId="0">
      <alignment horizontal="center" vertical="center" wrapText="1"/>
    </xf>
    <xf numFmtId="0" fontId="3" fillId="13" borderId="5" applyAlignment="1" pivotButton="0" quotePrefix="0" xfId="0">
      <alignment horizontal="center" vertical="center" wrapText="1"/>
    </xf>
    <xf numFmtId="0" fontId="3" fillId="13" borderId="6" applyAlignment="1" pivotButton="0" quotePrefix="0" xfId="0">
      <alignment horizontal="center" vertical="center" wrapText="1"/>
    </xf>
    <xf numFmtId="0" fontId="3" fillId="11" borderId="4" applyAlignment="1" pivotButton="0" quotePrefix="0" xfId="0">
      <alignment horizontal="center" vertical="center" wrapText="1"/>
    </xf>
    <xf numFmtId="0" fontId="3" fillId="11" borderId="5" applyAlignment="1" pivotButton="0" quotePrefix="0" xfId="0">
      <alignment horizontal="center" vertical="center" wrapText="1"/>
    </xf>
    <xf numFmtId="0" fontId="0" fillId="0" borderId="3" applyAlignment="1" pivotButton="0" quotePrefix="0" xfId="0">
      <alignment horizontal="left" vertical="center" wrapText="1"/>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3" fillId="12" borderId="4" applyAlignment="1" pivotButton="0" quotePrefix="0" xfId="0">
      <alignment horizontal="center" vertical="center" wrapText="1"/>
    </xf>
    <xf numFmtId="0" fontId="3" fillId="12" borderId="5" applyAlignment="1" pivotButton="0" quotePrefix="0" xfId="0">
      <alignment horizontal="center" vertical="center" wrapText="1"/>
    </xf>
    <xf numFmtId="0" fontId="3" fillId="14" borderId="4" applyAlignment="1" pivotButton="0" quotePrefix="0" xfId="0">
      <alignment horizontal="center" vertical="center" wrapText="1"/>
    </xf>
    <xf numFmtId="0" fontId="3" fillId="14" borderId="5" applyAlignment="1" pivotButton="0" quotePrefix="0" xfId="0">
      <alignment horizontal="center" vertical="center" wrapText="1"/>
    </xf>
    <xf numFmtId="0" fontId="3" fillId="14" borderId="6" applyAlignment="1" pivotButton="0" quotePrefix="0" xfId="0">
      <alignment horizontal="center"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3" fillId="10" borderId="3" applyAlignment="1" pivotButton="0" quotePrefix="0" xfId="0">
      <alignment horizontal="center" vertical="center" wrapText="1"/>
    </xf>
    <xf numFmtId="0" fontId="0" fillId="10" borderId="5" applyAlignment="1" pivotButton="0" quotePrefix="0" xfId="0">
      <alignment horizontal="center" vertical="center"/>
    </xf>
    <xf numFmtId="0" fontId="3" fillId="15" borderId="4" applyAlignment="1" pivotButton="0" quotePrefix="0" xfId="0">
      <alignment horizontal="center" vertical="center" wrapText="1"/>
    </xf>
    <xf numFmtId="0" fontId="3" fillId="15" borderId="5"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0" fontId="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9" fillId="17" borderId="3" applyAlignment="1" pivotButton="0" quotePrefix="0" xfId="0">
      <alignment horizontal="center" vertical="center" wrapText="1" readingOrder="1"/>
    </xf>
    <xf numFmtId="0" fontId="5" fillId="0" borderId="3" applyAlignment="1" pivotButton="0" quotePrefix="0" xfId="0">
      <alignment horizontal="center" vertical="center" wrapText="1"/>
    </xf>
    <xf numFmtId="0" fontId="0" fillId="16" borderId="3" applyAlignment="1" pivotButton="0" quotePrefix="0" xfId="0">
      <alignment horizontal="center" vertical="center" wrapText="1" readingOrder="1"/>
    </xf>
    <xf numFmtId="0" fontId="0" fillId="18" borderId="3" applyAlignment="1" pivotButton="0" quotePrefix="0" xfId="0">
      <alignment horizontal="center" vertical="center" wrapText="1" readingOrder="1"/>
    </xf>
    <xf numFmtId="0" fontId="7" fillId="17" borderId="3" applyAlignment="1" pivotButton="0" quotePrefix="0" xfId="0">
      <alignment horizontal="left" vertical="center" wrapText="1" readingOrder="1"/>
    </xf>
    <xf numFmtId="0" fontId="10" fillId="16" borderId="10" applyAlignment="1" pivotButton="0" quotePrefix="0" xfId="0">
      <alignment horizontal="center" vertical="center" wrapText="1" readingOrder="1"/>
    </xf>
    <xf numFmtId="0" fontId="10" fillId="16" borderId="2" applyAlignment="1" pivotButton="0" quotePrefix="0" xfId="0">
      <alignment horizontal="center" vertical="center" wrapText="1" readingOrder="1"/>
    </xf>
    <xf numFmtId="0" fontId="10" fillId="16" borderId="9" applyAlignment="1" pivotButton="0" quotePrefix="0" xfId="0">
      <alignment horizontal="center" vertical="center" wrapText="1" readingOrder="1"/>
    </xf>
    <xf numFmtId="0" fontId="10" fillId="18" borderId="7" applyAlignment="1" pivotButton="0" quotePrefix="0" xfId="0">
      <alignment horizontal="center" vertical="center" wrapText="1" readingOrder="1"/>
    </xf>
    <xf numFmtId="0" fontId="10" fillId="18" borderId="8" applyAlignment="1" pivotButton="0" quotePrefix="0" xfId="0">
      <alignment horizontal="center" vertical="center" wrapText="1" readingOrder="1"/>
    </xf>
    <xf numFmtId="0" fontId="10" fillId="18" borderId="11" applyAlignment="1" pivotButton="0" quotePrefix="0" xfId="0">
      <alignment horizontal="center" vertical="center" wrapText="1" readingOrder="1"/>
    </xf>
    <xf numFmtId="0" fontId="10" fillId="16" borderId="7" applyAlignment="1" pivotButton="0" quotePrefix="0" xfId="0">
      <alignment horizontal="center" vertical="center" wrapText="1" readingOrder="1"/>
    </xf>
    <xf numFmtId="0" fontId="10" fillId="16" borderId="11" applyAlignment="1" pivotButton="0" quotePrefix="0" xfId="0">
      <alignment horizontal="center" vertical="center" wrapText="1" readingOrder="1"/>
    </xf>
    <xf numFmtId="0" fontId="3" fillId="2" borderId="3" applyAlignment="1" pivotButton="0" quotePrefix="0" xfId="0">
      <alignment horizontal="center" vertical="center" wrapText="1"/>
    </xf>
    <xf numFmtId="0" fontId="0" fillId="0" borderId="5" pivotButton="0" quotePrefix="0" xfId="0"/>
    <xf numFmtId="0" fontId="0" fillId="0" borderId="6" pivotButton="0" quotePrefix="0" xfId="0"/>
    <xf numFmtId="0" fontId="3" fillId="13" borderId="3" applyAlignment="1" pivotButton="0" quotePrefix="0" xfId="0">
      <alignment horizontal="center" vertical="center" wrapText="1"/>
    </xf>
    <xf numFmtId="0" fontId="3" fillId="14" borderId="3" applyAlignment="1" pivotButton="0" quotePrefix="0" xfId="0">
      <alignment horizontal="center" vertical="center" wrapText="1"/>
    </xf>
    <xf numFmtId="0" fontId="0" fillId="0" borderId="8" pivotButton="0" quotePrefix="0" xfId="0"/>
    <xf numFmtId="0" fontId="0" fillId="0" borderId="11" pivotButton="0" quotePrefix="0" xfId="0"/>
    <xf numFmtId="0" fontId="10" fillId="16" borderId="6" applyAlignment="1" pivotButton="0" quotePrefix="0" xfId="0">
      <alignment horizontal="center" vertical="center" wrapText="1" readingOrder="1"/>
    </xf>
    <xf numFmtId="0" fontId="0" fillId="0" borderId="2" pivotButton="0" quotePrefix="0" xfId="0"/>
    <xf numFmtId="0" fontId="0" fillId="0" borderId="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P56"/>
  <sheetViews>
    <sheetView topLeftCell="A14" workbookViewId="0">
      <selection activeCell="E17" sqref="E17"/>
    </sheetView>
  </sheetViews>
  <sheetFormatPr baseColWidth="10" defaultColWidth="9.140625" defaultRowHeight="15"/>
  <cols>
    <col width="14.28515625" customWidth="1" min="1" max="1"/>
    <col width="14.7109375" customWidth="1" min="2" max="2"/>
    <col width="66.5703125" customWidth="1" min="3" max="3"/>
    <col width="27.28515625" customWidth="1" min="4" max="4"/>
  </cols>
  <sheetData>
    <row r="2" ht="34.5" customHeight="1">
      <c r="B2" s="5" t="inlineStr">
        <is>
          <t>Identificador de Epica</t>
        </is>
      </c>
      <c r="C2" s="5" t="inlineStr">
        <is>
          <t>Objetivo de la Epica</t>
        </is>
      </c>
      <c r="D2" s="5" t="inlineStr">
        <is>
          <t>Identificador (ID) de la Historia</t>
        </is>
      </c>
      <c r="E2" s="1" t="inlineStr">
        <is>
          <t>HUs</t>
        </is>
      </c>
      <c r="N2" s="2" t="n"/>
      <c r="O2" s="2" t="n"/>
      <c r="P2" s="2" t="n"/>
    </row>
    <row r="3" ht="15" customHeight="1">
      <c r="B3" s="68" t="inlineStr">
        <is>
          <t>EP01 — Acceso y Seguridad</t>
        </is>
      </c>
      <c r="C3" s="35"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6" t="inlineStr">
        <is>
          <t>HU0001</t>
        </is>
      </c>
      <c r="N3" s="2" t="n"/>
      <c r="O3" s="2" t="n"/>
      <c r="P3" s="2" t="n"/>
    </row>
    <row r="4">
      <c r="B4" s="69" t="n"/>
      <c r="C4" s="69" t="n"/>
      <c r="D4" s="6" t="inlineStr">
        <is>
          <t>HU0002</t>
        </is>
      </c>
      <c r="N4" s="2" t="n"/>
      <c r="O4" s="2" t="n"/>
      <c r="P4" s="2" t="n"/>
    </row>
    <row r="5">
      <c r="B5" s="69" t="n"/>
      <c r="C5" s="69" t="n"/>
      <c r="D5" s="6" t="inlineStr">
        <is>
          <t>HU0003</t>
        </is>
      </c>
      <c r="N5" s="2" t="n"/>
      <c r="O5" s="2" t="n"/>
      <c r="P5" s="2" t="n"/>
    </row>
    <row r="6">
      <c r="B6" s="69" t="n"/>
      <c r="C6" s="69" t="n"/>
      <c r="D6" s="6" t="inlineStr">
        <is>
          <t>HU0004</t>
        </is>
      </c>
      <c r="N6" s="2" t="n"/>
      <c r="O6" s="2" t="n"/>
      <c r="P6" s="2" t="n"/>
    </row>
    <row r="7">
      <c r="B7" s="69" t="n"/>
      <c r="C7" s="69" t="n"/>
      <c r="D7" s="6" t="inlineStr">
        <is>
          <t>HU0005</t>
        </is>
      </c>
      <c r="N7" s="2" t="n"/>
      <c r="O7" s="2" t="n"/>
      <c r="P7" s="2" t="n"/>
    </row>
    <row r="8">
      <c r="B8" s="69" t="n"/>
      <c r="C8" s="69" t="n"/>
      <c r="D8" s="6" t="inlineStr">
        <is>
          <t>HU0006</t>
        </is>
      </c>
      <c r="N8" s="2" t="n"/>
      <c r="O8" s="2" t="n"/>
      <c r="P8" s="2" t="n"/>
    </row>
    <row r="9" ht="15" customHeight="1">
      <c r="B9" s="69" t="n"/>
      <c r="C9" s="69" t="n"/>
      <c r="D9" s="6" t="inlineStr">
        <is>
          <t>HU0007</t>
        </is>
      </c>
    </row>
    <row r="10">
      <c r="B10" s="70" t="n"/>
      <c r="C10" s="70" t="n"/>
      <c r="D10" s="6" t="inlineStr">
        <is>
          <t>HU0008</t>
        </is>
      </c>
    </row>
    <row r="11" ht="38.25" customHeight="1">
      <c r="B11" s="46" t="inlineStr">
        <is>
          <t>EP02 — Predicción y Clasificación de Riesgo</t>
        </is>
      </c>
      <c r="C11" s="35"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11" s="7" t="inlineStr">
        <is>
          <t>HU0009</t>
        </is>
      </c>
    </row>
    <row r="12" ht="33.75" customHeight="1">
      <c r="B12" s="70" t="n"/>
      <c r="C12" s="70" t="n"/>
      <c r="D12" s="7" t="inlineStr">
        <is>
          <t>HU0010</t>
        </is>
      </c>
    </row>
    <row r="13" ht="15" customHeight="1">
      <c r="B13" s="33" t="inlineStr">
        <is>
          <t>EP03 — Análisis y Visualización de Estudiantes</t>
        </is>
      </c>
      <c r="C13" s="43"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3" s="8" t="inlineStr">
        <is>
          <t>HU0011</t>
        </is>
      </c>
    </row>
    <row r="14" ht="15" customHeight="1">
      <c r="B14" s="69" t="n"/>
      <c r="C14" s="69" t="n"/>
      <c r="D14" s="8" t="inlineStr">
        <is>
          <t>HU0012</t>
        </is>
      </c>
    </row>
    <row r="15">
      <c r="B15" s="69" t="n"/>
      <c r="C15" s="69" t="n"/>
      <c r="D15" s="8" t="inlineStr">
        <is>
          <t>HU0013</t>
        </is>
      </c>
    </row>
    <row r="16">
      <c r="B16" s="69" t="n"/>
      <c r="C16" s="69" t="n"/>
      <c r="D16" s="8" t="inlineStr">
        <is>
          <t>HU0014</t>
        </is>
      </c>
    </row>
    <row r="17">
      <c r="B17" s="69" t="n"/>
      <c r="C17" s="69" t="n"/>
      <c r="D17" s="8" t="inlineStr">
        <is>
          <t>HU0015</t>
        </is>
      </c>
    </row>
    <row r="18">
      <c r="B18" s="69" t="n"/>
      <c r="C18" s="69" t="n"/>
      <c r="D18" s="8" t="inlineStr">
        <is>
          <t>HU0016</t>
        </is>
      </c>
    </row>
    <row r="19" ht="15" customHeight="1">
      <c r="B19" s="71" t="inlineStr">
        <is>
          <t>EP04 — Priorización e Intervención</t>
        </is>
      </c>
      <c r="C19" s="43"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19" s="9" t="inlineStr">
        <is>
          <t>HU0017</t>
        </is>
      </c>
    </row>
    <row r="20">
      <c r="B20" s="69" t="n"/>
      <c r="C20" s="69" t="n"/>
      <c r="D20" s="9" t="inlineStr">
        <is>
          <t>HU0018</t>
        </is>
      </c>
    </row>
    <row r="21" ht="15" customHeight="1">
      <c r="B21" s="69" t="n"/>
      <c r="C21" s="69" t="n"/>
      <c r="D21" s="9" t="inlineStr">
        <is>
          <t>HU0019</t>
        </is>
      </c>
    </row>
    <row r="22">
      <c r="B22" s="69" t="n"/>
      <c r="C22" s="69" t="n"/>
      <c r="D22" s="9" t="inlineStr">
        <is>
          <t>HU0020</t>
        </is>
      </c>
    </row>
    <row r="23">
      <c r="B23" s="69" t="n"/>
      <c r="C23" s="69" t="n"/>
      <c r="D23" s="9" t="inlineStr">
        <is>
          <t>HU0021</t>
        </is>
      </c>
    </row>
    <row r="24">
      <c r="B24" s="69" t="n"/>
      <c r="C24" s="69" t="n"/>
      <c r="D24" s="9" t="inlineStr">
        <is>
          <t>HU0022</t>
        </is>
      </c>
    </row>
    <row r="25">
      <c r="B25" s="70" t="n"/>
      <c r="C25" s="69" t="n"/>
      <c r="D25" s="9" t="inlineStr">
        <is>
          <t>HU0023</t>
        </is>
      </c>
    </row>
    <row r="26" ht="15" customHeight="1">
      <c r="B26" s="38" t="inlineStr">
        <is>
          <t>EP05 — Seguimiento Histórico y Reportes</t>
        </is>
      </c>
      <c r="C26" s="43"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6" s="10" t="inlineStr">
        <is>
          <t>HU0024</t>
        </is>
      </c>
    </row>
    <row r="27">
      <c r="B27" s="69" t="n"/>
      <c r="C27" s="69" t="n"/>
      <c r="D27" s="10" t="inlineStr">
        <is>
          <t>HU0025</t>
        </is>
      </c>
    </row>
    <row r="28">
      <c r="B28" s="69" t="n"/>
      <c r="C28" s="69" t="n"/>
      <c r="D28" s="10" t="inlineStr">
        <is>
          <t>HU0026</t>
        </is>
      </c>
    </row>
    <row r="29" ht="31.5" customHeight="1">
      <c r="B29" s="69" t="n"/>
      <c r="C29" s="69" t="n"/>
      <c r="D29" s="10" t="inlineStr">
        <is>
          <t>HU0027</t>
        </is>
      </c>
    </row>
    <row r="30" ht="15" customHeight="1">
      <c r="B30" s="48" t="inlineStr">
        <is>
          <t>EP06 — Gestión de Datos</t>
        </is>
      </c>
      <c r="C30" s="43"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30" s="11" t="inlineStr">
        <is>
          <t>HU0028</t>
        </is>
      </c>
    </row>
    <row r="31">
      <c r="B31" s="69" t="n"/>
      <c r="C31" s="69" t="n"/>
      <c r="D31" s="11" t="inlineStr">
        <is>
          <t>HU0029</t>
        </is>
      </c>
    </row>
    <row r="32">
      <c r="B32" s="69" t="n"/>
      <c r="C32" s="69" t="n"/>
      <c r="D32" s="11" t="inlineStr">
        <is>
          <t>HU0030</t>
        </is>
      </c>
    </row>
    <row r="33">
      <c r="B33" s="69" t="n"/>
      <c r="C33" s="69" t="n"/>
      <c r="D33" s="11" t="inlineStr">
        <is>
          <t>HU0031</t>
        </is>
      </c>
    </row>
    <row r="34" ht="15" customHeight="1">
      <c r="B34" s="72" t="inlineStr">
        <is>
          <t>EP07 — Mantenimiento del Modelo ML</t>
        </is>
      </c>
      <c r="C34" s="35"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4" s="12" t="inlineStr">
        <is>
          <t>HU0032</t>
        </is>
      </c>
    </row>
    <row r="35" ht="15" customHeight="1">
      <c r="B35" s="69" t="n"/>
      <c r="C35" s="69" t="n"/>
      <c r="D35" s="12" t="inlineStr">
        <is>
          <t>HU0033</t>
        </is>
      </c>
    </row>
    <row r="36">
      <c r="B36" s="69" t="n"/>
      <c r="C36" s="69" t="n"/>
      <c r="D36" s="12" t="inlineStr">
        <is>
          <t>HU0034</t>
        </is>
      </c>
    </row>
    <row r="37">
      <c r="B37" s="70" t="n"/>
      <c r="C37" s="70" t="n"/>
      <c r="D37" s="12" t="inlineStr">
        <is>
          <t>HU0035</t>
        </is>
      </c>
    </row>
    <row r="38">
      <c r="B38" s="4" t="n"/>
    </row>
    <row r="39">
      <c r="B39" s="4" t="n"/>
    </row>
    <row r="40">
      <c r="B40" s="4" t="n"/>
    </row>
    <row r="41">
      <c r="B41" s="4" t="n"/>
    </row>
    <row r="56">
      <c r="D56" s="3" t="n"/>
    </row>
  </sheetData>
  <mergeCells count="14">
    <mergeCell ref="B19:B25"/>
    <mergeCell ref="B13:B18"/>
    <mergeCell ref="C3:C10"/>
    <mergeCell ref="B26:B29"/>
    <mergeCell ref="B34:B37"/>
    <mergeCell ref="C26:C29"/>
    <mergeCell ref="C34:C37"/>
    <mergeCell ref="B11:B12"/>
    <mergeCell ref="B30:B33"/>
    <mergeCell ref="B3:B10"/>
    <mergeCell ref="C11:C12"/>
    <mergeCell ref="C30:C33"/>
    <mergeCell ref="C13:C18"/>
    <mergeCell ref="C19:C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0"/>
  <sheetViews>
    <sheetView tabSelected="1" zoomScaleNormal="100" workbookViewId="0">
      <pane xSplit="2" ySplit="2" topLeftCell="L75" activePane="bottomRight" state="frozen"/>
      <selection pane="topRight" activeCell="C1" sqref="C1"/>
      <selection pane="bottomLeft" activeCell="A3" sqref="A3"/>
      <selection pane="bottomRight" activeCell="L85" sqref="L85"/>
    </sheetView>
  </sheetViews>
  <sheetFormatPr baseColWidth="10" defaultColWidth="9.140625" defaultRowHeight="15"/>
  <cols>
    <col width="15.7109375" customWidth="1" style="26" min="1" max="1"/>
    <col width="16.42578125" customWidth="1" style="26" min="2" max="2"/>
    <col width="13.28515625" customWidth="1" style="26" min="3" max="3"/>
    <col width="28.28515625" customWidth="1" style="26" min="4" max="4"/>
    <col width="20.140625" customWidth="1" style="26" min="5" max="5"/>
    <col width="18" customWidth="1" style="26" min="6" max="6"/>
    <col width="28.5703125" customWidth="1" style="26" min="7" max="7"/>
    <col width="30.42578125" customWidth="1" style="26" min="8" max="9"/>
    <col width="41.140625" customWidth="1" style="26" min="10" max="10"/>
    <col width="43.42578125" customWidth="1" style="26" min="11" max="11"/>
    <col width="26" customWidth="1" style="26" min="12" max="12"/>
    <col width="54" customWidth="1" style="26" min="13" max="13"/>
    <col width="9.140625" customWidth="1" style="26" min="14" max="16384"/>
  </cols>
  <sheetData>
    <row r="1" ht="27.95" customHeight="1">
      <c r="A1" s="57" t="inlineStr">
        <is>
          <t>Enunciado de la Historia</t>
        </is>
      </c>
      <c r="B1" s="73" t="n"/>
      <c r="C1" s="73" t="n"/>
      <c r="D1" s="73" t="n"/>
      <c r="E1" s="73" t="n"/>
      <c r="F1" s="73" t="n"/>
      <c r="G1" s="73" t="n"/>
      <c r="H1" s="73" t="n"/>
      <c r="I1" s="74" t="n"/>
      <c r="J1" s="58" t="inlineStr">
        <is>
          <t>Criterios de Aceptación</t>
        </is>
      </c>
      <c r="K1" s="73" t="n"/>
      <c r="L1" s="73" t="n"/>
      <c r="M1" s="74" t="n"/>
    </row>
    <row r="2" ht="42" customHeight="1">
      <c r="A2" s="57" t="inlineStr">
        <is>
          <t>Identificador (ID) de la Historia</t>
        </is>
      </c>
      <c r="B2" s="57" t="inlineStr">
        <is>
          <t>Rol</t>
        </is>
      </c>
      <c r="C2" s="57" t="inlineStr">
        <is>
          <t>Característica / Funcionalidad</t>
        </is>
      </c>
      <c r="D2" s="74" t="n"/>
      <c r="E2" s="57" t="inlineStr">
        <is>
          <t>Razón / Resultado</t>
        </is>
      </c>
      <c r="F2" s="74" t="n"/>
      <c r="G2" s="57" t="inlineStr">
        <is>
          <t>REDACCION</t>
        </is>
      </c>
      <c r="H2" s="57" t="inlineStr">
        <is>
          <t>Número (#) de Escenario</t>
        </is>
      </c>
      <c r="I2" s="74" t="n"/>
      <c r="J2" s="58" t="inlineStr">
        <is>
          <t>Criterio de Aceptación (Título)</t>
        </is>
      </c>
      <c r="K2" s="58" t="inlineStr">
        <is>
          <t>Contexto</t>
        </is>
      </c>
      <c r="L2" s="58" t="inlineStr">
        <is>
          <t>Evento</t>
        </is>
      </c>
      <c r="M2" s="58" t="inlineStr">
        <is>
          <t>Resultado / Comportamiento esperado</t>
        </is>
      </c>
    </row>
    <row r="3" ht="60" customHeight="1">
      <c r="A3" s="55" t="inlineStr">
        <is>
          <t>HU0001</t>
        </is>
      </c>
      <c r="B3" s="56" t="inlineStr">
        <is>
          <t>Director o Coordinador Académico</t>
        </is>
      </c>
      <c r="C3" s="54" t="inlineStr">
        <is>
          <t>Necesito:</t>
        </is>
      </c>
      <c r="D3" s="56" t="inlineStr">
        <is>
          <t>registrarme con los datos de mi colegio para obtener una cuenta operativa</t>
        </is>
      </c>
      <c r="E3" s="54" t="inlineStr">
        <is>
          <t>Con la finalidad de:</t>
        </is>
      </c>
      <c r="F3" s="56" t="inlineStr">
        <is>
          <t>no depender de que un administrador la cree manualmente</t>
        </is>
      </c>
      <c r="G3" s="53">
        <f>CONCATENATE("Como  ",B3," quiero ", D3," para ",F3)</f>
        <v/>
      </c>
      <c r="H3" s="56" t="n">
        <v>1</v>
      </c>
      <c r="I3" s="56" t="inlineStr">
        <is>
          <t>Registro exitoso</t>
        </is>
      </c>
      <c r="J3" s="53">
        <f>CONCATENATE(A3,"-",H3)</f>
        <v/>
      </c>
      <c r="K3" s="56" t="inlineStr">
        <is>
          <t>Nombre, colegio, correo de un proveedor no bloqueado y contraseña con mínimo 8 caracteres, mayúscula, minúscula, número y carácter especial</t>
        </is>
      </c>
      <c r="L3" s="56" t="inlineStr">
        <is>
          <t>Completa el formulario y presiona "Crear cuenta"</t>
        </is>
      </c>
      <c r="M3" s="56" t="inlineStr">
        <is>
          <t>Sistema crea la cuenta (Director si el colegio no tiene uno todavía, o Coordinador si ya lo tiene) y muestra el aviso de confirmación de correo.</t>
        </is>
      </c>
    </row>
    <row r="4" ht="30" customHeight="1">
      <c r="A4" s="69" t="n"/>
      <c r="B4" s="69" t="n"/>
      <c r="C4" s="69" t="n"/>
      <c r="D4" s="69" t="n"/>
      <c r="E4" s="69" t="n"/>
      <c r="F4" s="69" t="n"/>
      <c r="G4" s="69" t="n"/>
      <c r="H4" s="56" t="n">
        <v>2</v>
      </c>
      <c r="I4" s="56" t="inlineStr">
        <is>
          <t>Correo duplicado</t>
        </is>
      </c>
      <c r="J4" s="53">
        <f>CONCATENATE(A3,"-",H4)</f>
        <v/>
      </c>
      <c r="K4" s="56" t="inlineStr">
        <is>
          <t>El correo ingresado ya tiene una cuenta registrada</t>
        </is>
      </c>
      <c r="L4" s="56" t="inlineStr">
        <is>
          <t>Intenta registrarse con ese correo</t>
        </is>
      </c>
      <c r="M4" s="56" t="inlineStr">
        <is>
          <t>Sistema muestra 'Este correo ya tiene una cuenta registrada. Si es tuya, usa "Recuperar contraseña".'</t>
        </is>
      </c>
    </row>
    <row r="5" ht="75" customHeight="1">
      <c r="A5" s="69" t="n"/>
      <c r="B5" s="69" t="n"/>
      <c r="C5" s="69" t="n"/>
      <c r="D5" s="69" t="n"/>
      <c r="E5" s="69" t="n"/>
      <c r="F5" s="69" t="n"/>
      <c r="G5" s="69" t="n"/>
      <c r="H5" s="56" t="n">
        <v>3</v>
      </c>
      <c r="I5" s="56" t="inlineStr">
        <is>
          <t>Datos inválidos</t>
        </is>
      </c>
      <c r="J5" s="53">
        <f>CONCATENATE(A3,"-",H5)</f>
        <v/>
      </c>
      <c r="K5" s="56" t="inlineStr">
        <is>
          <t>Campo requerido vacío, colegio no seleccionado, contraseña sin alguna de las 5 reglas, o correo de un proveedor gratuito bloqueado (gmail, hotmail, yahoo, outlook, live, icloud, me, aol, protonmail)</t>
        </is>
      </c>
      <c r="L5" s="56" t="inlineStr">
        <is>
          <t>Completa el formulario</t>
        </is>
      </c>
      <c r="M5" s="56" t="inlineStr">
        <is>
          <t>El botón "Crear cuenta" permanece deshabilitado hasta corregir todo (el checklist de contraseña se actualiza en tiempo real)</t>
        </is>
      </c>
    </row>
    <row r="6" ht="45" customHeight="1">
      <c r="A6" s="70" t="n"/>
      <c r="B6" s="70" t="n"/>
      <c r="C6" s="70" t="n"/>
      <c r="D6" s="70" t="n"/>
      <c r="E6" s="70" t="n"/>
      <c r="F6" s="70" t="n"/>
      <c r="G6" s="70" t="n"/>
      <c r="H6" s="56" t="n">
        <v>4</v>
      </c>
      <c r="I6" s="56" t="inlineStr">
        <is>
          <t>Administrador sin autorregistro</t>
        </is>
      </c>
      <c r="J6" s="53">
        <f>CONCATENATE(A3,"-",H6)</f>
        <v/>
      </c>
      <c r="K6" s="56" t="inlineStr">
        <is>
          <t>Cualquier visitante</t>
        </is>
      </c>
      <c r="L6" s="56" t="inlineStr">
        <is>
          <t>Abre el formulario de registro</t>
        </is>
      </c>
      <c r="M6" s="56" t="inlineStr">
        <is>
          <t>Sistema solo permite crear cuentas de Director/Coordinador; para una cuenta de Administrador, indica que hay que contactar al admin del sistema</t>
        </is>
      </c>
    </row>
    <row r="7" ht="80.25" customHeight="1">
      <c r="A7" s="55" t="inlineStr">
        <is>
          <t>HU0002</t>
        </is>
      </c>
      <c r="B7" s="56" t="inlineStr">
        <is>
          <t>Cualquier usuario registrado</t>
        </is>
      </c>
      <c r="C7" s="54" t="inlineStr">
        <is>
          <t>Necesito:</t>
        </is>
      </c>
      <c r="D7" s="56" t="inlineStr">
        <is>
          <t>iniciar sesión con mis credenciales</t>
        </is>
      </c>
      <c r="E7" s="54" t="inlineStr">
        <is>
          <t>Con la finalidad de:</t>
        </is>
      </c>
      <c r="F7" s="56" t="inlineStr">
        <is>
          <t>acceder a las funcionalidades correspondientes a mi rol</t>
        </is>
      </c>
      <c r="G7" s="53">
        <f>CONCATENATE("Como  ",B7," quiero ", D7," para ",F7)</f>
        <v/>
      </c>
      <c r="H7" s="56" t="n">
        <v>1</v>
      </c>
      <c r="I7" s="56" t="inlineStr">
        <is>
          <t>Login exitoso</t>
        </is>
      </c>
      <c r="J7" s="53">
        <f>CONCATENATE(A7,"-",H7)</f>
        <v/>
      </c>
      <c r="K7" s="56" t="inlineStr">
        <is>
          <t>Credenciales válidas y cuenta activa</t>
        </is>
      </c>
      <c r="L7" s="56" t="inlineStr">
        <is>
          <t>Ingresa correo y contraseña</t>
        </is>
      </c>
      <c r="M7" s="56" t="inlineStr">
        <is>
          <t>Sistema autentica y muestra la primera pestaña permitida para su rol (Dashboard para Director/Coordinador; Usuarios para Administrador del Sistema o Superadmin, este último con los mismos permisos que un Administrador pero sin restricción de alcance por colegio)</t>
        </is>
      </c>
    </row>
    <row r="8" ht="60" customHeight="1">
      <c r="A8" s="69" t="n"/>
      <c r="B8" s="69" t="n"/>
      <c r="C8" s="69" t="n"/>
      <c r="D8" s="69" t="n"/>
      <c r="E8" s="69" t="n"/>
      <c r="F8" s="69" t="n"/>
      <c r="G8" s="69" t="n"/>
      <c r="H8" s="56" t="n">
        <v>2</v>
      </c>
      <c r="I8" s="56" t="inlineStr">
        <is>
          <t>Credenciales inválidas</t>
        </is>
      </c>
      <c r="J8" s="53">
        <f>CONCATENATE(A7,"-",H8)</f>
        <v/>
      </c>
      <c r="K8" s="56" t="inlineStr">
        <is>
          <t>Correo o contraseña incorrectos</t>
        </is>
      </c>
      <c r="L8" s="56" t="inlineStr">
        <is>
          <t>Ingresa credenciales</t>
        </is>
      </c>
      <c r="M8" s="56" t="inlineStr">
        <is>
          <t>Sistema muestra 'Correo o contrasena incorrectos.'</t>
        </is>
      </c>
    </row>
    <row r="9" ht="75" customHeight="1">
      <c r="A9" s="70" t="n"/>
      <c r="B9" s="70" t="n"/>
      <c r="C9" s="70" t="n"/>
      <c r="D9" s="70" t="n"/>
      <c r="E9" s="70" t="n"/>
      <c r="F9" s="70" t="n"/>
      <c r="G9" s="70" t="n"/>
      <c r="H9" s="56" t="n">
        <v>3</v>
      </c>
      <c r="I9" s="56" t="inlineStr">
        <is>
          <t>Cuenta desactivada</t>
        </is>
      </c>
      <c r="J9" s="53">
        <f>CONCATENATE(A7,"-",H9)</f>
        <v/>
      </c>
      <c r="K9" s="56" t="inlineStr">
        <is>
          <t>Cuenta con activo=false</t>
        </is>
      </c>
      <c r="L9" s="56" t="inlineStr">
        <is>
          <t>Ingresa credenciales correctas</t>
        </is>
      </c>
      <c r="M9" s="56" t="inlineStr">
        <is>
          <t>Supabase autentica momentáneamente, pero el sistema detecta la inactividad, cierra la sesión y muestra 'Cuenta inactiva. Contacta a tu administrador.' (el intento igual queda registrado como 'Inicio de sesion' en auditoría antes de cerrarse)</t>
        </is>
      </c>
    </row>
    <row r="10" ht="75.5" customHeight="1">
      <c r="A10" s="53" t="inlineStr">
        <is>
          <t>HU0003</t>
        </is>
      </c>
      <c r="B10" s="53" t="inlineStr">
        <is>
          <t>Administrador del Sistema</t>
        </is>
      </c>
      <c r="C10" s="54" t="inlineStr">
        <is>
          <t>Necesito:</t>
        </is>
      </c>
      <c r="D10" s="53" t="inlineStr">
        <is>
          <t>cerrar mi sesión de forma segura</t>
        </is>
      </c>
      <c r="E10" s="54" t="inlineStr">
        <is>
          <t>Con la finalidad de:</t>
        </is>
      </c>
      <c r="F10" s="53" t="inlineStr">
        <is>
          <t>proteger los datos sensibles del sistema</t>
        </is>
      </c>
      <c r="G10" s="53">
        <f>CONCATENATE("Como  ",B10," quiero ", D10," para ",F10)</f>
        <v/>
      </c>
      <c r="H10" s="56" t="n">
        <v>1</v>
      </c>
      <c r="I10" s="56" t="inlineStr">
        <is>
          <t>Cierre voluntario</t>
        </is>
      </c>
      <c r="J10" s="53">
        <f>CONCATENATE(A10,"-",H10)</f>
        <v/>
      </c>
      <c r="K10" s="56" t="inlineStr">
        <is>
          <t>Usuario con sesión activa</t>
        </is>
      </c>
      <c r="L10" s="56" t="inlineStr">
        <is>
          <t>Hace clic en «Cerrar sesión» (botón de la barra superior o botón «Cerrar sesión» del menú de perfil)</t>
        </is>
      </c>
      <c r="M10" s="56" t="inlineStr">
        <is>
          <t>Sistema invalida el token y redirige al login</t>
        </is>
      </c>
    </row>
    <row r="11" ht="60" customHeight="1">
      <c r="A11" s="70" t="n"/>
      <c r="B11" s="70" t="n"/>
      <c r="C11" s="70" t="n"/>
      <c r="D11" s="70" t="n"/>
      <c r="E11" s="70" t="n"/>
      <c r="F11" s="70" t="n"/>
      <c r="G11" s="70" t="n"/>
      <c r="H11" s="56" t="n">
        <v>2</v>
      </c>
      <c r="I11" s="56" t="inlineStr">
        <is>
          <t>Cierre por inactividad</t>
        </is>
      </c>
      <c r="J11" s="53">
        <f>CONCATENATE(A10,"-",H11)</f>
        <v/>
      </c>
      <c r="K11" s="56" t="inlineStr">
        <is>
          <t>Sin actividad por más de 30 minutos</t>
        </is>
      </c>
      <c r="L11" s="56" t="inlineStr">
        <is>
          <t>Sistema detecta timeout</t>
        </is>
      </c>
      <c r="M11" s="56" t="inlineStr">
        <is>
          <t>Sistema cierra sesión automáticamente</t>
        </is>
      </c>
    </row>
    <row r="12" ht="60" customHeight="1">
      <c r="A12" s="53" t="inlineStr">
        <is>
          <t>HU0004</t>
        </is>
      </c>
      <c r="B12" s="53" t="inlineStr">
        <is>
          <t>Cualquier usuario registrado</t>
        </is>
      </c>
      <c r="C12" s="54" t="inlineStr">
        <is>
          <t>Necesito:</t>
        </is>
      </c>
      <c r="D12" s="53" t="inlineStr">
        <is>
          <t>recuperar mi contraseña en caso de olvido</t>
        </is>
      </c>
      <c r="E12" s="54" t="inlineStr">
        <is>
          <t>Con la finalidad de:</t>
        </is>
      </c>
      <c r="F12" s="53" t="inlineStr">
        <is>
          <t>recobrar el acceso al sistema sin asistencia técnica</t>
        </is>
      </c>
      <c r="G12" s="53">
        <f>CONCATENATE("Como  ",B12," quiero ", D12," para ",F12)</f>
        <v/>
      </c>
      <c r="H12" s="56" t="n">
        <v>1</v>
      </c>
      <c r="I12" s="56" t="inlineStr">
        <is>
          <t>Enlace enviado</t>
        </is>
      </c>
      <c r="J12" s="53">
        <f>CONCATENATE(A12,"-",H12)</f>
        <v/>
      </c>
      <c r="K12" s="56" t="inlineStr">
        <is>
          <t>Un correo ingresado (exista o no una cuenta con ese correo -- Supabase no distingue, por diseño anti-enumeración)</t>
        </is>
      </c>
      <c r="L12" s="56" t="inlineStr">
        <is>
          <t>Presiona "Enviar enlace"</t>
        </is>
      </c>
      <c r="M12" s="56" t="inlineStr">
        <is>
          <t>Sistema muestra 'Enlace de recuperacion enviado. Revisa tu bandeja de entrada.'</t>
        </is>
      </c>
    </row>
    <row r="13" ht="80.25" customHeight="1">
      <c r="A13" s="70" t="n"/>
      <c r="B13" s="70" t="n"/>
      <c r="C13" s="70" t="n"/>
      <c r="D13" s="70" t="n"/>
      <c r="E13" s="70" t="n"/>
      <c r="F13" s="70" t="n"/>
      <c r="G13" s="70" t="n"/>
      <c r="H13" s="56" t="n">
        <v>2</v>
      </c>
      <c r="I13" s="56" t="inlineStr">
        <is>
          <t>Error real de Supabase</t>
        </is>
      </c>
      <c r="J13" s="53">
        <f>CONCATENATE(A12,"-",H13)</f>
        <v/>
      </c>
      <c r="K13" s="56" t="inlineStr">
        <is>
          <t>Un error real de Supabase (ej. de red o límite de envíos)</t>
        </is>
      </c>
      <c r="L13" s="56" t="inlineStr">
        <is>
          <t>Solicita el enlace</t>
        </is>
      </c>
      <c r="M13" s="56" t="inlineStr">
        <is>
          <t>Sistema muestra el mensaje de error tal como lo devuelve Supabase, sin traducir al español (ej. límite de envíos alcanzado, error de red -- el texto exacto depende de la respuesta de Supabase en el momento de la prueba)</t>
        </is>
      </c>
    </row>
    <row r="14" ht="148" customHeight="1">
      <c r="A14" s="53" t="inlineStr">
        <is>
          <t>HU0005</t>
        </is>
      </c>
      <c r="B14" s="53" t="inlineStr">
        <is>
          <t>Administrador del Sistema</t>
        </is>
      </c>
      <c r="C14" s="54" t="inlineStr">
        <is>
          <t>Necesito:</t>
        </is>
      </c>
      <c r="D14" s="53" t="inlineStr">
        <is>
          <t>gestionar los usuarios del sistema (alta, baja, roles) y asignar colegios a coordinadores y directores</t>
        </is>
      </c>
      <c r="E14" s="54" t="inlineStr">
        <is>
          <t>Con la finalidad de:</t>
        </is>
      </c>
      <c r="F14" s="53" t="inlineStr">
        <is>
          <t>controlar quién accede y con qué nivel de permisos</t>
        </is>
      </c>
      <c r="G14" s="53">
        <f>CONCATENATE("Como  ",B14," quiero ", D14," para ",F14)</f>
        <v/>
      </c>
      <c r="H14" s="56" t="n">
        <v>1</v>
      </c>
      <c r="I14" s="56" t="inlineStr">
        <is>
          <t>Crear usuario nuevo</t>
        </is>
      </c>
      <c r="J14" s="53">
        <f>CONCATENATE(A14,"-",H14)</f>
        <v/>
      </c>
      <c r="K14" s="56" t="inlineStr">
        <is>
          <t>Email, nombre, contraseña temporal (sin exigencia de complejidad; el único requisito es el mínimo de Supabase, actualmente 6 caracteres) y rol elegidos por el Admin</t>
        </is>
      </c>
      <c r="L14" s="56" t="inlineStr">
        <is>
          <t>Completa el formulario y guarda (mismo formulario para cualquier rol; el Admin de colegio elige el rol Director o Coordinador Académico y su colegio queda fijo al suyo: no se le muestra el selector de colegio)</t>
        </is>
      </c>
      <c r="M14" s="56" t="inlineStr">
        <is>
          <t>Sistema crea la cuenta con esa contraseña y Supabase envía el correo de confirmación si el proyecto lo tiene habilitado</t>
        </is>
      </c>
    </row>
    <row r="15" ht="60" customHeight="1">
      <c r="A15" s="69" t="n"/>
      <c r="B15" s="69" t="n"/>
      <c r="C15" s="69" t="n"/>
      <c r="D15" s="69" t="n"/>
      <c r="E15" s="69" t="n"/>
      <c r="F15" s="69" t="n"/>
      <c r="G15" s="69" t="n"/>
      <c r="H15" s="56" t="n">
        <v>2</v>
      </c>
      <c r="I15" s="56" t="inlineStr">
        <is>
          <t>Desactivar o activar usuario</t>
        </is>
      </c>
      <c r="J15" s="53">
        <f>CONCATENATE(A14,"-",H15)</f>
        <v/>
      </c>
      <c r="K15" s="56" t="inlineStr">
        <is>
          <t>Usuario existente dentro de su alcance (RLS)</t>
        </is>
      </c>
      <c r="L15" s="56" t="inlineStr">
        <is>
          <t>Confirma desactivar o activar</t>
        </is>
      </c>
      <c r="M15" s="56" t="inlineStr">
        <is>
          <t>Sistema actualiza el acceso; si está fuera de su alcance, RLS lo rechaza y muestra 'No se pudo desactivar (sin permiso o usuario fuera de tu colegio).'</t>
        </is>
      </c>
    </row>
    <row r="16" ht="60" customHeight="1">
      <c r="A16" s="69" t="n"/>
      <c r="B16" s="69" t="n"/>
      <c r="C16" s="69" t="n"/>
      <c r="D16" s="69" t="n"/>
      <c r="E16" s="69" t="n"/>
      <c r="F16" s="69" t="n"/>
      <c r="G16" s="69" t="n"/>
      <c r="H16" s="56" t="n">
        <v>3</v>
      </c>
      <c r="I16" s="56" t="inlineStr">
        <is>
          <t>Cambiar rol de usuario</t>
        </is>
      </c>
      <c r="J16" s="53">
        <f>CONCATENATE(A14,"-",H16)</f>
        <v/>
      </c>
      <c r="K16" s="56" t="inlineStr">
        <is>
          <t>Usuario existente dentro de su alcance</t>
        </is>
      </c>
      <c r="L16" s="56" t="inlineStr">
        <is>
          <t>Modifica el rol asignado</t>
        </is>
      </c>
      <c r="M16" s="56" t="inlineStr">
        <is>
          <t>Sistema actualiza permisos y registra el cambio en auditoría</t>
        </is>
      </c>
    </row>
    <row r="17" ht="60" customHeight="1">
      <c r="A17" s="70" t="n"/>
      <c r="B17" s="70" t="n"/>
      <c r="C17" s="70" t="n"/>
      <c r="D17" s="70" t="n"/>
      <c r="E17" s="70" t="n"/>
      <c r="F17" s="70" t="n"/>
      <c r="G17" s="70" t="n"/>
      <c r="H17" s="56" t="n">
        <v>4</v>
      </c>
      <c r="I17" s="56" t="inlineStr">
        <is>
          <t>Director sin acceso a crear usuarios</t>
        </is>
      </c>
      <c r="J17" s="53">
        <f>CONCATENATE(A14,"-",H17)</f>
        <v/>
      </c>
      <c r="K17" s="56" t="inlineStr">
        <is>
          <t>Rol Director</t>
        </is>
      </c>
      <c r="L17" s="56" t="inlineStr">
        <is>
          <t>Abre "Usuarios"</t>
        </is>
      </c>
      <c r="M17" s="56" t="inlineStr">
        <is>
          <t>No ve el botón "Crear usuario" -- solo puede cambiar el rol y activar/desactivar cuentas ya existentes de su propio colegio</t>
        </is>
      </c>
    </row>
    <row r="18" ht="72" customHeight="1">
      <c r="A18" s="53" t="inlineStr">
        <is>
          <t>HU0006</t>
        </is>
      </c>
      <c r="B18" s="53" t="inlineStr">
        <is>
          <t>Administrador del Sistema</t>
        </is>
      </c>
      <c r="C18" s="54" t="inlineStr">
        <is>
          <t>Necesito:</t>
        </is>
      </c>
      <c r="D18" s="53" t="inlineStr">
        <is>
          <t>consultar el registro de auditoría de acciones del sistema (no solo accesos) y filtrarlo por usuario o fecha</t>
        </is>
      </c>
      <c r="E18" s="54" t="inlineStr">
        <is>
          <t>Con la finalidad de:</t>
        </is>
      </c>
      <c r="F18" s="53" t="inlineStr">
        <is>
          <t>supervisar el uso del sistema y detectar acciones indebidas</t>
        </is>
      </c>
      <c r="G18" s="53">
        <f>CONCATENATE("Como  ",B18," quiero ", D18," para ",F18)</f>
        <v/>
      </c>
      <c r="H18" s="56" t="n">
        <v>1</v>
      </c>
      <c r="I18" s="56" t="inlineStr">
        <is>
          <t>Consultar y filtrar auditoría</t>
        </is>
      </c>
      <c r="J18" s="53">
        <f>CONCATENATE(A18,"-",H18)</f>
        <v/>
      </c>
      <c r="K18" s="56" t="inlineStr">
        <is>
          <t>Admin o Superadmin con acciones registradas (sesión, usuarios, modelo, intervenciones, anotaciones, exportaciones, configuración, entre otras)</t>
        </is>
      </c>
      <c r="L18" s="56" t="inlineStr">
        <is>
          <t>Abre "Usuarios" y busca por texto o aplica un rango de fechas</t>
        </is>
      </c>
      <c r="M18" s="56" t="inlineStr">
        <is>
          <t>Sistema muestra, de las 50 acciones más recientes ya cargadas, únicamente las que coincidan con el texto buscado o el rango de fechas (la búsqueda no consulta acciones más antiguas fuera de esas 50)</t>
        </is>
      </c>
    </row>
    <row r="19" ht="60" customHeight="1">
      <c r="A19" s="70" t="n"/>
      <c r="B19" s="70" t="n"/>
      <c r="C19" s="70" t="n"/>
      <c r="D19" s="70" t="n"/>
      <c r="E19" s="70" t="n"/>
      <c r="F19" s="70" t="n"/>
      <c r="G19" s="70" t="n"/>
      <c r="H19" s="56" t="n">
        <v>2</v>
      </c>
      <c r="I19" s="56" t="inlineStr">
        <is>
          <t>Director sin acceso</t>
        </is>
      </c>
      <c r="J19" s="53">
        <f>CONCATENATE(A18,"-",H19)</f>
        <v/>
      </c>
      <c r="K19" s="56" t="inlineStr">
        <is>
          <t>Rol Director</t>
        </is>
      </c>
      <c r="L19" s="56" t="inlineStr">
        <is>
          <t>Abre "Usuarios"</t>
        </is>
      </c>
      <c r="M19" s="56" t="inlineStr">
        <is>
          <t>No ve el panel de auditoría en absoluto (bloqueado también a nivel de base de datos, no solo en la interfaz)</t>
        </is>
      </c>
    </row>
    <row r="20" ht="60" customHeight="1">
      <c r="A20" s="53" t="inlineStr">
        <is>
          <t>HU0007</t>
        </is>
      </c>
      <c r="B20" s="53" t="inlineStr">
        <is>
          <t>Director</t>
        </is>
      </c>
      <c r="C20" s="54" t="inlineStr">
        <is>
          <t>Necesito:</t>
        </is>
      </c>
      <c r="D20" s="53" t="inlineStr">
        <is>
          <t>cambiar el rol de mi equipo (Director ↔ Coordinador) dentro de mi propio colegio</t>
        </is>
      </c>
      <c r="E20" s="54" t="inlineStr">
        <is>
          <t>Con la finalidad de:</t>
        </is>
      </c>
      <c r="F20" s="53" t="inlineStr">
        <is>
          <t>no depender de un Administrador para cada ajuste</t>
        </is>
      </c>
      <c r="G20" s="53">
        <f>CONCATENATE("Como  ",B20," quiero ", D20," para ",F20)</f>
        <v/>
      </c>
      <c r="H20" s="56" t="n">
        <v>1</v>
      </c>
      <c r="I20" s="56" t="inlineStr">
        <is>
          <t>Cambio exitoso dentro del colegio</t>
        </is>
      </c>
      <c r="J20" s="53">
        <f>CONCATENATE(A20,"-",H20)</f>
        <v/>
      </c>
      <c r="K20" s="56" t="inlineStr">
        <is>
          <t>Cuenta de Director o Coordinador de su mismo colegio seleccionada</t>
        </is>
      </c>
      <c r="L20" s="56" t="inlineStr">
        <is>
          <t>Cambia el rol desde el selector en "Mi equipo"</t>
        </is>
      </c>
      <c r="M20" s="56" t="inlineStr">
        <is>
          <t>Sistema actualiza el rol y registra el cambio en auditoría</t>
        </is>
      </c>
    </row>
    <row r="21" ht="60" customHeight="1">
      <c r="A21" s="70" t="n"/>
      <c r="B21" s="70" t="n"/>
      <c r="C21" s="70" t="n"/>
      <c r="D21" s="70" t="n"/>
      <c r="E21" s="70" t="n"/>
      <c r="F21" s="70" t="n"/>
      <c r="G21" s="70" t="n"/>
      <c r="H21" s="56" t="n">
        <v>2</v>
      </c>
      <c r="I21" s="56" t="inlineStr">
        <is>
          <t>Bloqueo fuera de su alcance</t>
        </is>
      </c>
      <c r="J21" s="53">
        <f>CONCATENATE(A20,"-",H21)</f>
        <v/>
      </c>
      <c r="K21" s="56" t="inlineStr">
        <is>
          <t>Cuenta de otro colegio, o de un Admin/Superadmin</t>
        </is>
      </c>
      <c r="L21" s="56" t="inlineStr">
        <is>
          <t>Intenta modificar ese rol (aunque el frontend no ofrezca el selector para esos casos)</t>
        </is>
      </c>
      <c r="M21" s="56" t="inlineStr">
        <is>
          <t>La política de la base de datos (RLS) rechaza el cambio y no se modifica ninguna fila</t>
        </is>
      </c>
    </row>
    <row r="22" ht="60" customHeight="1">
      <c r="A22" s="53" t="inlineStr">
        <is>
          <t>HU0008</t>
        </is>
      </c>
      <c r="B22" s="53" t="inlineStr">
        <is>
          <t>Cualquier usuario autenticado</t>
        </is>
      </c>
      <c r="C22" s="54" t="inlineStr">
        <is>
          <t>Necesito:</t>
        </is>
      </c>
      <c r="D22" s="53" t="inlineStr">
        <is>
          <t>personalizar mi cuenta (foto, nombre, materia que enseño -- este último solo aplica a Director/Coordinador Académico --, correo y contraseña)</t>
        </is>
      </c>
      <c r="E22" s="54" t="inlineStr">
        <is>
          <t>Con la finalidad de:</t>
        </is>
      </c>
      <c r="F22" s="53" t="inlineStr">
        <is>
          <t>mantener mis datos actualizados y ser más reconocible para el equipo</t>
        </is>
      </c>
      <c r="G22" s="53">
        <f>CONCATENATE("Como  ",B22," quiero ", D22," para ",F22)</f>
        <v/>
      </c>
      <c r="H22" s="56" t="n">
        <v>1</v>
      </c>
      <c r="I22" s="56" t="inlineStr">
        <is>
          <t>Foto de perfil actualizada</t>
        </is>
      </c>
      <c r="J22" s="53">
        <f>CONCATENATE(A22,"-",H22)</f>
        <v/>
      </c>
      <c r="K22" s="56" t="inlineStr">
        <is>
          <t>Imagen válida (JPG/PNG) de hasta 3MB</t>
        </is>
      </c>
      <c r="L22" s="56" t="inlineStr">
        <is>
          <t>Selecciona una foto en "Editar perfil"</t>
        </is>
      </c>
      <c r="M22" s="56" t="inlineStr">
        <is>
          <t>Sistema la sube de inmediato y la refleja en su avatar</t>
        </is>
      </c>
    </row>
    <row r="23" ht="70.5" customHeight="1">
      <c r="A23" s="69" t="n"/>
      <c r="B23" s="69" t="n"/>
      <c r="C23" s="69" t="n"/>
      <c r="D23" s="69" t="n"/>
      <c r="E23" s="69" t="n"/>
      <c r="F23" s="69" t="n"/>
      <c r="G23" s="69" t="n"/>
      <c r="H23" s="56" t="n">
        <v>2</v>
      </c>
      <c r="I23" s="56" t="inlineStr">
        <is>
          <t>Archivo inválido rechazado</t>
        </is>
      </c>
      <c r="J23" s="53">
        <f>CONCATENATE(A22,"-",H23)</f>
        <v/>
      </c>
      <c r="K23" s="56" t="inlineStr">
        <is>
          <t>Archivo que no es una imagen, o pesa más de 3MB</t>
        </is>
      </c>
      <c r="L23" s="56" t="inlineStr">
        <is>
          <t>Intenta subirlo como foto de perfil</t>
        </is>
      </c>
      <c r="M23" s="56" t="inlineStr">
        <is>
          <t>Sistema rechaza el archivo y muestra 'El archivo debe ser una imagen.' (si no es una imagen) o 'La imagen no puede pesar más de 3MB.' (si excede el tamaño), sin modificar la foto actual</t>
        </is>
      </c>
    </row>
    <row r="24" ht="81.75" customHeight="1">
      <c r="A24" s="70" t="n"/>
      <c r="B24" s="70" t="n"/>
      <c r="C24" s="70" t="n"/>
      <c r="D24" s="70" t="n"/>
      <c r="E24" s="70" t="n"/>
      <c r="F24" s="70" t="n"/>
      <c r="G24" s="70" t="n"/>
      <c r="H24" s="56" t="n">
        <v>3</v>
      </c>
      <c r="I24" s="56" t="inlineStr">
        <is>
          <t>Datos guardados</t>
        </is>
      </c>
      <c r="J24" s="53">
        <f>CONCATENATE(A22,"-",H24)</f>
        <v/>
      </c>
      <c r="K24" s="56" t="inlineStr">
        <is>
          <t>Nombre, apellidos, materia, correo y/o contraseña editados (correo y contraseña son opcionales; si se completan, Supabase valida el nuevo correo y aplica el cambio de contraseña)</t>
        </is>
      </c>
      <c r="L24" s="56" t="inlineStr">
        <is>
          <t>Selecciona "Guardar cambios"</t>
        </is>
      </c>
      <c r="M24" s="56" t="inlineStr">
        <is>
          <t>Sistema actualiza el perfil, aplica el cambio de correo/contraseña si se completaron, y confirma con 'Perfil actualizado correctamente.' (o el detalle del error puntual de Supabase, si el cambio de correo o contraseña falla)</t>
        </is>
      </c>
    </row>
    <row r="25" ht="60" customHeight="1">
      <c r="A25" s="53" t="inlineStr">
        <is>
          <t>HU0009</t>
        </is>
      </c>
      <c r="B25" s="53" t="inlineStr">
        <is>
          <t>Coordinador Académico</t>
        </is>
      </c>
      <c r="C25" s="54" t="inlineStr">
        <is>
          <t>Necesito:</t>
        </is>
      </c>
      <c r="D25" s="53" t="inlineStr">
        <is>
          <t>identificar estudiantes con riesgo de bajo rendimiento</t>
        </is>
      </c>
      <c r="E25" s="54" t="inlineStr">
        <is>
          <t>Con la finalidad de:</t>
        </is>
      </c>
      <c r="F25" s="53" t="inlineStr">
        <is>
          <t>intervenir oportunamente</t>
        </is>
      </c>
      <c r="G25" s="53">
        <f>CONCATENATE("Como  ",B25," quiero ", D25," para ",F25)</f>
        <v/>
      </c>
      <c r="H25" s="56" t="n">
        <v>1</v>
      </c>
      <c r="I25" s="56" t="inlineStr">
        <is>
          <t>Predicción exitosa</t>
        </is>
      </c>
      <c r="J25" s="53">
        <f>CONCATENATE(A25,"-",H25)</f>
        <v/>
      </c>
      <c r="K25" s="56" t="inlineStr">
        <is>
          <t>Sistema con datos académicos cargados</t>
        </is>
      </c>
      <c r="L25" s="56" t="inlineStr">
        <is>
          <t>Abre el dashboard del colegio (el análisis se ejecuta automáticamente, sin un paso manual)</t>
        </is>
      </c>
      <c r="M25" s="56" t="inlineStr">
        <is>
          <t>Sistema muestra lista de estudiantes en riesgo</t>
        </is>
      </c>
    </row>
    <row r="26" ht="119" customHeight="1">
      <c r="A26" s="69" t="n"/>
      <c r="B26" s="69" t="n"/>
      <c r="C26" s="69" t="n"/>
      <c r="D26" s="69" t="n"/>
      <c r="E26" s="69" t="n"/>
      <c r="F26" s="69" t="n"/>
      <c r="G26" s="69" t="n"/>
      <c r="H26" s="56" t="n">
        <v>2</v>
      </c>
      <c r="I26" s="56" t="inlineStr">
        <is>
          <t>Sin datos suficientes</t>
        </is>
      </c>
      <c r="J26" s="53">
        <f>CONCATENATE(A25,"-",H26)</f>
        <v/>
      </c>
      <c r="K26" s="56" t="inlineStr">
        <is>
          <t>Colegio con 2 o 3 bimestres cargados (sin el Bimestre 4 todavía), o con muy pocos alumnos en riesgo o sin riesgo para entrenar</t>
        </is>
      </c>
      <c r="L26" s="56" t="inlineStr">
        <is>
          <t>Accede al dashboard del colegio</t>
        </is>
      </c>
      <c r="M26" s="56" t="inlineStr">
        <is>
          <t>Sistema muestra el aviso 'Este colegio todavía no tiene los 4 bimestres cargados' y, en vez de bloquear el análisis, pronostica el bimestre siguiente (con 3 bimestres pronostica el 4.°; con 2, el 3.°). Si solo hay 1 bimestre, o faltan alumnos en riesgo o sin riesgo para entrenar, opera en modo descriptivo (no predictivo) con el aviso 'el modelo está operando con datos limitados'</t>
        </is>
      </c>
    </row>
    <row r="27" ht="60" customHeight="1">
      <c r="A27" s="70" t="n"/>
      <c r="B27" s="70" t="n"/>
      <c r="C27" s="70" t="n"/>
      <c r="D27" s="70" t="n"/>
      <c r="E27" s="70" t="n"/>
      <c r="F27" s="70" t="n"/>
      <c r="G27" s="70" t="n"/>
      <c r="H27" s="56" t="n">
        <v>3</v>
      </c>
      <c r="I27" s="56" t="inlineStr">
        <is>
          <t>Error de procesamiento</t>
        </is>
      </c>
      <c r="J27" s="53">
        <f>CONCATENATE(A25,"-",H27)</f>
        <v/>
      </c>
      <c r="K27" s="56" t="inlineStr">
        <is>
          <t>El servidor que procesa el análisis no responde o falla la conexión</t>
        </is>
      </c>
      <c r="L27" s="56" t="inlineStr">
        <is>
          <t>Accede al dashboard del colegio (esa misma acción dispara el análisis automático)</t>
        </is>
      </c>
      <c r="M27" s="56" t="inlineStr">
        <is>
          <t>Sistema muestra un aviso de error de conexión indicando que no se pudo procesar la solicitud</t>
        </is>
      </c>
    </row>
    <row r="28" ht="69.75" customHeight="1">
      <c r="A28" s="53" t="inlineStr">
        <is>
          <t>HU0010</t>
        </is>
      </c>
      <c r="B28" s="53" t="inlineStr">
        <is>
          <t>Coordinador Académico</t>
        </is>
      </c>
      <c r="C28" s="54" t="inlineStr">
        <is>
          <t>Necesito:</t>
        </is>
      </c>
      <c r="D28" s="53" t="inlineStr">
        <is>
          <t>visualizar el nivel de riesgo de los estudiantes</t>
        </is>
      </c>
      <c r="E28" s="54" t="inlineStr">
        <is>
          <t>Con la finalidad de:</t>
        </is>
      </c>
      <c r="F28" s="53" t="inlineStr">
        <is>
          <t>facilitar la toma de decisiones</t>
        </is>
      </c>
      <c r="G28" s="53">
        <f>CONCATENATE("Como  ",B28," quiero ", D28," para ",F28)</f>
        <v/>
      </c>
      <c r="H28" s="56" t="n">
        <v>1</v>
      </c>
      <c r="I28" s="56" t="inlineStr">
        <is>
          <t>Visualización correcta</t>
        </is>
      </c>
      <c r="J28" s="53">
        <f>CONCATENATE(A28,"-",H28)</f>
        <v/>
      </c>
      <c r="K28" s="56" t="inlineStr">
        <is>
          <t>Datos procesados disponibles</t>
        </is>
      </c>
      <c r="L28" s="56" t="inlineStr">
        <is>
          <t>Accede al panel</t>
        </is>
      </c>
      <c r="M28" s="56" t="inlineStr">
        <is>
          <t>Sistema muestra el nivel de cada estudiante como una etiqueta de texto en mayúsculas (ALTO/MEDIO/BAJO), cada una con un color fijo asociado que no cambia según los demás niveles presentes</t>
        </is>
      </c>
    </row>
    <row r="29" ht="60" customHeight="1">
      <c r="A29" s="70" t="n"/>
      <c r="B29" s="70" t="n"/>
      <c r="C29" s="70" t="n"/>
      <c r="D29" s="70" t="n"/>
      <c r="E29" s="70" t="n"/>
      <c r="F29" s="70" t="n"/>
      <c r="G29" s="70" t="n"/>
      <c r="H29" s="56" t="n">
        <v>2</v>
      </c>
      <c r="I29" s="56" t="inlineStr">
        <is>
          <t>Sin modelo propio configurado</t>
        </is>
      </c>
      <c r="J29" s="53">
        <f>CONCATENATE(A28,"-",H29)</f>
        <v/>
      </c>
      <c r="K29" s="56" t="inlineStr">
        <is>
          <t>Colegio sin modelo propio entrenado todavía</t>
        </is>
      </c>
      <c r="L29" s="56" t="inlineStr">
        <is>
          <t>Accede al panel de niveles de riesgo</t>
        </is>
      </c>
      <c r="M29" s="56" t="inlineStr">
        <is>
          <t>Sistema muestra el estado 'Sin modelo propio configurado' (con acceso directo a Datos para subir el Excel) en vez del panel de niveles</t>
        </is>
      </c>
    </row>
    <row r="30" ht="67.5" customHeight="1">
      <c r="A30" s="53" t="inlineStr">
        <is>
          <t>HU0011</t>
        </is>
      </c>
      <c r="B30" s="53" t="inlineStr">
        <is>
          <t>Coordinador Académico</t>
        </is>
      </c>
      <c r="C30" s="54" t="inlineStr">
        <is>
          <t>Necesito:</t>
        </is>
      </c>
      <c r="D30" s="53" t="inlineStr">
        <is>
          <t>conocer los factores específicos que elevan el riesgo de un estudiante</t>
        </is>
      </c>
      <c r="E30" s="54" t="inlineStr">
        <is>
          <t>Con la finalidad de:</t>
        </is>
      </c>
      <c r="F30" s="53" t="inlineStr">
        <is>
          <t>diseñar estrategias de intervención personalizadas</t>
        </is>
      </c>
      <c r="G30" s="53">
        <f>CONCATENATE("Como  ",B30," quiero ", D30," para ",F30)</f>
        <v/>
      </c>
      <c r="H30" s="56" t="n">
        <v>1</v>
      </c>
      <c r="I30" s="56" t="inlineStr">
        <is>
          <t>Factores visibles por estudiante</t>
        </is>
      </c>
      <c r="J30" s="53">
        <f>CONCATENATE(A30,"-",H30)</f>
        <v/>
      </c>
      <c r="K30" s="56" t="inlineStr">
        <is>
          <t>Alumno con nota registrada en al menos una de 7 materias + Conducta (bimestre 1-3, o promedio anual si el salón no tiene desglose por bimestre)</t>
        </is>
      </c>
      <c r="L30" s="56" t="inlineStr">
        <is>
          <t>Selecciona un estudiante</t>
        </is>
      </c>
      <c r="M30" s="56" t="inlineStr">
        <is>
          <t>Sistema muestra hasta 3 áreas con el promedio más bajo (o las áreas calificadas disponibles, si el alumno tiene notas en menos de 3), ordenadas de menor a mayor, con barra visual y valor numérico</t>
        </is>
      </c>
    </row>
    <row r="31" ht="60" customHeight="1">
      <c r="A31" s="70" t="n"/>
      <c r="B31" s="70" t="n"/>
      <c r="C31" s="70" t="n"/>
      <c r="D31" s="70" t="n"/>
      <c r="E31" s="70" t="n"/>
      <c r="F31" s="70" t="n"/>
      <c r="G31" s="70" t="n"/>
      <c r="H31" s="56" t="n">
        <v>2</v>
      </c>
      <c r="I31" s="56" t="inlineStr">
        <is>
          <t>Alumno sin ninguna nota registrada</t>
        </is>
      </c>
      <c r="J31" s="53">
        <f>CONCATENATE(A30,"-",H31)</f>
        <v/>
      </c>
      <c r="K31" s="56" t="inlineStr">
        <is>
          <t>Alumno sin ninguna nota en ninguna área</t>
        </is>
      </c>
      <c r="L31" s="56" t="inlineStr">
        <is>
          <t>Selecciona un estudiante</t>
        </is>
      </c>
      <c r="M31" s="56" t="inlineStr">
        <is>
          <t>Sistema muestra 'Aún no hay notas de los bimestres 1-3 para estimar los factores de riesgo de este alumno.'</t>
        </is>
      </c>
    </row>
    <row r="32" ht="60" customHeight="1">
      <c r="A32" s="53" t="inlineStr">
        <is>
          <t>HU0012</t>
        </is>
      </c>
      <c r="B32" s="53" t="inlineStr">
        <is>
          <t>Coordinador Académico</t>
        </is>
      </c>
      <c r="C32" s="54" t="inlineStr">
        <is>
          <t>Necesito:</t>
        </is>
      </c>
      <c r="D32" s="53" t="inlineStr">
        <is>
          <t>visualizar indicadores globales del colegio</t>
        </is>
      </c>
      <c r="E32" s="54" t="inlineStr">
        <is>
          <t>Con la finalidad de:</t>
        </is>
      </c>
      <c r="F32" s="53" t="inlineStr">
        <is>
          <t>evaluar el desempeño institucional</t>
        </is>
      </c>
      <c r="G32" s="53">
        <f>CONCATENATE("Como  ",B32," quiero ", D32," para ",F32)</f>
        <v/>
      </c>
      <c r="H32" s="56" t="n">
        <v>1</v>
      </c>
      <c r="I32" s="56" t="inlineStr">
        <is>
          <t>Visualización correcta</t>
        </is>
      </c>
      <c r="J32" s="53">
        <f>CONCATENATE(A32,"-",H32)</f>
        <v/>
      </c>
      <c r="K32" s="56" t="inlineStr">
        <is>
          <t>Colegio con modelo propio entrenado</t>
        </is>
      </c>
      <c r="L32" s="56" t="inlineStr">
        <is>
          <t>Accede al dashboard</t>
        </is>
      </c>
      <c r="M32" s="56" t="inlineStr">
        <is>
          <t>Sistema muestra 5 KPIs (Alumnos, En riesgo, Riesgo alto, Riesgo medio, Riesgo bajo), recalculados según los filtros de nivel/grado/sección activos</t>
        </is>
      </c>
    </row>
    <row r="33" ht="60" customHeight="1">
      <c r="A33" s="70" t="n"/>
      <c r="B33" s="70" t="n"/>
      <c r="C33" s="70" t="n"/>
      <c r="D33" s="70" t="n"/>
      <c r="E33" s="70" t="n"/>
      <c r="F33" s="70" t="n"/>
      <c r="G33" s="70" t="n"/>
      <c r="H33" s="56" t="n">
        <v>2</v>
      </c>
      <c r="I33" s="56" t="inlineStr">
        <is>
          <t>Filtro sin coincidencias</t>
        </is>
      </c>
      <c r="J33" s="53">
        <f>CONCATENATE(A32,"-",H33)</f>
        <v/>
      </c>
      <c r="K33" s="56" t="inlineStr">
        <is>
          <t>Ningún alumno cumple el filtro activo</t>
        </is>
      </c>
      <c r="L33" s="56" t="inlineStr">
        <is>
          <t>Accede al dashboard</t>
        </is>
      </c>
      <c r="M33" s="56" t="inlineStr">
        <is>
          <t>Sistema muestra los 5 KPIs en cero, sin ningún mensaje de advertencia adicional (los KPIs en cero son, por diseño, la señal de que ningún alumno cumple el filtro activo)</t>
        </is>
      </c>
    </row>
    <row r="34" ht="60" customHeight="1">
      <c r="A34" s="53" t="inlineStr">
        <is>
          <t>HU0013</t>
        </is>
      </c>
      <c r="B34" s="53" t="inlineStr">
        <is>
          <t>Coordinador Académico</t>
        </is>
      </c>
      <c r="C34" s="54" t="inlineStr">
        <is>
          <t>Necesito:</t>
        </is>
      </c>
      <c r="D34" s="53" t="inlineStr">
        <is>
          <t>ver un ranking de estudiantes según nivel de riesgo</t>
        </is>
      </c>
      <c r="E34" s="54" t="inlineStr">
        <is>
          <t>Con la finalidad de:</t>
        </is>
      </c>
      <c r="F34" s="53" t="inlineStr">
        <is>
          <t>identificar rápidamente los casos más críticos</t>
        </is>
      </c>
      <c r="G34" s="53">
        <f>CONCATENATE("Como  ",B34," quiero ", D34," para ",F34)</f>
        <v/>
      </c>
      <c r="H34" s="56" t="n">
        <v>1</v>
      </c>
      <c r="I34" s="56" t="inlineStr">
        <is>
          <t>Ranking descendente correcto</t>
        </is>
      </c>
      <c r="J34" s="53">
        <f>CONCATENATE(A34,"-",H34)</f>
        <v/>
      </c>
      <c r="K34" s="56" t="inlineStr">
        <is>
          <t>Alumnos que cumplen el filtro activo</t>
        </is>
      </c>
      <c r="L34" s="56" t="inlineStr">
        <is>
          <t>Accede al panel "Estudiantes más críticos"</t>
        </is>
      </c>
      <c r="M34" s="56" t="inlineStr">
        <is>
          <t>Sistema lista hasta 25 alumnos ordenados de mayor a menor probabilidad de riesgo, con acceso a la lista completa desde "Ver notas por materia"</t>
        </is>
      </c>
    </row>
    <row r="35" ht="60" customHeight="1">
      <c r="A35" s="70" t="n"/>
      <c r="B35" s="70" t="n"/>
      <c r="C35" s="70" t="n"/>
      <c r="D35" s="70" t="n"/>
      <c r="E35" s="70" t="n"/>
      <c r="F35" s="70" t="n"/>
      <c r="G35" s="70" t="n"/>
      <c r="H35" s="56" t="n">
        <v>2</v>
      </c>
      <c r="I35" s="56" t="inlineStr">
        <is>
          <t>Sin datos disponibles</t>
        </is>
      </c>
      <c r="J35" s="53">
        <f>CONCATENATE(A34,"-",H35)</f>
        <v/>
      </c>
      <c r="K35" s="56" t="inlineStr">
        <is>
          <t>Ningún alumno cumple el filtro activo</t>
        </is>
      </c>
      <c r="L35" s="56" t="inlineStr">
        <is>
          <t>Accede al panel (mientras los datos del colegio cargan, ve brevemente 'Cargando alumnos del colegio...'; una vez cargados, se aplica el filtro)</t>
        </is>
      </c>
      <c r="M35" s="56" t="inlineStr">
        <is>
          <t>Sistema muestra 'No hay alumnos con el filtro seleccionado.' una vez finalizada la carga</t>
        </is>
      </c>
    </row>
    <row r="36" ht="66.75" customHeight="1">
      <c r="A36" s="53" t="inlineStr">
        <is>
          <t>HU0014</t>
        </is>
      </c>
      <c r="B36" s="53" t="inlineStr">
        <is>
          <t>Coordinador Académico</t>
        </is>
      </c>
      <c r="C36" s="54" t="inlineStr">
        <is>
          <t>Necesito:</t>
        </is>
      </c>
      <c r="D36" s="53" t="inlineStr">
        <is>
          <t>filtrar estudiantes por grado o sección</t>
        </is>
      </c>
      <c r="E36" s="54" t="inlineStr">
        <is>
          <t>Con la finalidad de:</t>
        </is>
      </c>
      <c r="F36" s="53" t="inlineStr">
        <is>
          <t>analizar grupos específicos</t>
        </is>
      </c>
      <c r="G36" s="53">
        <f>CONCATENATE("Como  ",B36," quiero ", D36," para ",F36)</f>
        <v/>
      </c>
      <c r="H36" s="56" t="n">
        <v>1</v>
      </c>
      <c r="I36" s="56" t="inlineStr">
        <is>
          <t>Filtro por grado o sección correcto</t>
        </is>
      </c>
      <c r="J36" s="53">
        <f>CONCATENATE(A36,"-",H36)</f>
        <v/>
      </c>
      <c r="K36" s="56" t="inlineStr">
        <is>
          <t>Alumnos con salón/grado/sección definidos</t>
        </is>
      </c>
      <c r="L36" s="56" t="inlineStr">
        <is>
          <t>Aplica un filtro de grado o sección</t>
        </is>
      </c>
      <c r="M36" s="56" t="inlineStr">
        <is>
          <t>Sistema recalcula KPIs, ranking y gráfico de distribución mostrando solo los alumnos que cumplen el filtro (al limpiar o deseleccionar el filtro, recalcula con la totalidad de alumnos del colegio)</t>
        </is>
      </c>
    </row>
    <row r="37" ht="60" customHeight="1">
      <c r="A37" s="70" t="n"/>
      <c r="B37" s="70" t="n"/>
      <c r="C37" s="70" t="n"/>
      <c r="D37" s="70" t="n"/>
      <c r="E37" s="70" t="n"/>
      <c r="F37" s="70" t="n"/>
      <c r="G37" s="70" t="n"/>
      <c r="H37" s="56" t="n">
        <v>2</v>
      </c>
      <c r="I37" s="56" t="inlineStr">
        <is>
          <t>Filtro sin coincidencias</t>
        </is>
      </c>
      <c r="J37" s="53">
        <f>CONCATENATE(A36,"-",H37)</f>
        <v/>
      </c>
      <c r="K37" s="56" t="inlineStr">
        <is>
          <t>Filtro aplicado sin alumnos que lo cumplan</t>
        </is>
      </c>
      <c r="L37" s="56" t="inlineStr">
        <is>
          <t>Aplica el filtro</t>
        </is>
      </c>
      <c r="M37" s="56" t="inlineStr">
        <is>
          <t>Sistema muestra 'No hay alumnos con el filtro seleccionado.'</t>
        </is>
      </c>
    </row>
    <row r="38" ht="60" customHeight="1">
      <c r="A38" s="53" t="inlineStr">
        <is>
          <t>HU0015</t>
        </is>
      </c>
      <c r="B38" s="53" t="inlineStr">
        <is>
          <t>Coordinador Académico</t>
        </is>
      </c>
      <c r="C38" s="54" t="inlineStr">
        <is>
          <t>Necesito:</t>
        </is>
      </c>
      <c r="D38" s="53" t="inlineStr">
        <is>
          <t>visualizar la distribución de estudiantes por nivel de riesgo</t>
        </is>
      </c>
      <c r="E38" s="54" t="inlineStr">
        <is>
          <t>Con la finalidad de:</t>
        </is>
      </c>
      <c r="F38" s="53" t="inlineStr">
        <is>
          <t>tener una visión general rápida</t>
        </is>
      </c>
      <c r="G38" s="53">
        <f>CONCATENATE("Como  ",B38," quiero ", D38," para ",F38)</f>
        <v/>
      </c>
      <c r="H38" s="56" t="n">
        <v>1</v>
      </c>
      <c r="I38" s="56" t="inlineStr">
        <is>
          <t>Gráfico correcto</t>
        </is>
      </c>
      <c r="J38" s="53">
        <f>CONCATENATE(A38,"-",H38)</f>
        <v/>
      </c>
      <c r="K38" s="56" t="inlineStr">
        <is>
          <t>Alumnos que cumplen el filtro activo</t>
        </is>
      </c>
      <c r="L38" s="56" t="inlineStr">
        <is>
          <t>Accede al dashboard</t>
        </is>
      </c>
      <c r="M38" s="56" t="inlineStr">
        <is>
          <t>Sistema muestra un donut con la distribución ALTO/MEDIO/BAJO, con colores fijos por nivel (un nivel en 0 no hereda el color de otro)</t>
        </is>
      </c>
    </row>
    <row r="39" ht="60" customHeight="1">
      <c r="A39" s="70" t="n"/>
      <c r="B39" s="70" t="n"/>
      <c r="C39" s="70" t="n"/>
      <c r="D39" s="70" t="n"/>
      <c r="E39" s="70" t="n"/>
      <c r="F39" s="70" t="n"/>
      <c r="G39" s="70" t="n"/>
      <c r="H39" s="56" t="n">
        <v>2</v>
      </c>
      <c r="I39" s="56" t="inlineStr">
        <is>
          <t>Sin datos para el filtro</t>
        </is>
      </c>
      <c r="J39" s="53">
        <f>CONCATENATE(A38,"-",H39)</f>
        <v/>
      </c>
      <c r="K39" s="56" t="inlineStr">
        <is>
          <t>Ningún alumno cumple el filtro activo</t>
        </is>
      </c>
      <c r="L39" s="56" t="inlineStr">
        <is>
          <t>Accede al dashboard</t>
        </is>
      </c>
      <c r="M39" s="56" t="inlineStr">
        <is>
          <t>Sistema muestra 'Sin datos para el filtro seleccionado.' en vez del gráfico</t>
        </is>
      </c>
    </row>
    <row r="40" ht="60" customHeight="1">
      <c r="A40" s="53" t="inlineStr">
        <is>
          <t>HU0016</t>
        </is>
      </c>
      <c r="B40" s="53" t="inlineStr">
        <is>
          <t>Coordinador Académico</t>
        </is>
      </c>
      <c r="C40" s="54" t="inlineStr">
        <is>
          <t>Necesito:</t>
        </is>
      </c>
      <c r="D40" s="53" t="inlineStr">
        <is>
          <t>ver el historial académico de un estudiante en un solo lugar</t>
        </is>
      </c>
      <c r="E40" s="54" t="inlineStr">
        <is>
          <t>Con la finalidad de:</t>
        </is>
      </c>
      <c r="F40" s="53" t="inlineStr">
        <is>
          <t>analizar su evolución completa</t>
        </is>
      </c>
      <c r="G40" s="53">
        <f>CONCATENATE("Como  ",B40," quiero ", D40," para ",F40)</f>
        <v/>
      </c>
      <c r="H40" s="56" t="n">
        <v>1</v>
      </c>
      <c r="I40" s="56" t="inlineStr">
        <is>
          <t>Historial completo</t>
        </is>
      </c>
      <c r="J40" s="53">
        <f>CONCATENATE(A40,"-",H40)</f>
        <v/>
      </c>
      <c r="K40" s="56" t="inlineStr">
        <is>
          <t>Alumno con notas cargadas</t>
        </is>
      </c>
      <c r="L40" s="56" t="inlineStr">
        <is>
          <t>Abre su detalle, pestaña "Trayectoria"</t>
        </is>
      </c>
      <c r="M40" s="56" t="inlineStr">
        <is>
          <t>Sistema muestra la tabla de notas del bimestre seleccionado (7 materias + Conducta anual) y el gráfico de evolución B1-B4 con línea de referencia de aprobación</t>
        </is>
      </c>
    </row>
    <row r="41" ht="60" customHeight="1">
      <c r="A41" s="70" t="n"/>
      <c r="B41" s="70" t="n"/>
      <c r="C41" s="70" t="n"/>
      <c r="D41" s="70" t="n"/>
      <c r="E41" s="70" t="n"/>
      <c r="F41" s="70" t="n"/>
      <c r="G41" s="70" t="n"/>
      <c r="H41" s="56" t="n">
        <v>2</v>
      </c>
      <c r="I41" s="56" t="inlineStr">
        <is>
          <t>Historial incompleto</t>
        </is>
      </c>
      <c r="J41" s="53">
        <f>CONCATENATE(A40,"-",H41)</f>
        <v/>
      </c>
      <c r="K41" s="56" t="inlineStr">
        <is>
          <t>Alumno sin ninguna nota cargada</t>
        </is>
      </c>
      <c r="L41" s="56" t="inlineStr">
        <is>
          <t>Abre su detalle</t>
        </is>
      </c>
      <c r="M41" s="56" t="inlineStr">
        <is>
          <t>Sistema muestra la tabla y el gráfico igual, con celdas vacías ('—') y sin puntos en el gráfico — no hay un mensaje de advertencia dedicado para esta ausencia</t>
        </is>
      </c>
    </row>
    <row r="42" ht="60" customHeight="1">
      <c r="A42" s="53" t="inlineStr">
        <is>
          <t>HU0017</t>
        </is>
      </c>
      <c r="B42" s="53" t="inlineStr">
        <is>
          <t>Coordinador Académico</t>
        </is>
      </c>
      <c r="C42" s="54" t="inlineStr">
        <is>
          <t>Necesito:</t>
        </is>
      </c>
      <c r="D42" s="53" t="inlineStr">
        <is>
          <t>recibir un aviso automático cuando el reentrenamiento del modelo detecte alumnos nuevos en riesgo ALTO</t>
        </is>
      </c>
      <c r="E42" s="54" t="inlineStr">
        <is>
          <t>Con la finalidad de:</t>
        </is>
      </c>
      <c r="F42" s="53" t="inlineStr">
        <is>
          <t>no tener que revisar el dashboard manualmente después de cada carga de datos</t>
        </is>
      </c>
      <c r="G42" s="53">
        <f>CONCATENATE("Como  ",B42," quiero ", D42," para ",F42)</f>
        <v/>
      </c>
      <c r="H42" s="56" t="n">
        <v>1</v>
      </c>
      <c r="I42" s="56" t="inlineStr">
        <is>
          <t>Alerta por correo tras reentrenar</t>
        </is>
      </c>
      <c r="J42" s="53">
        <f>CONCATENATE(A42,"-",H42)</f>
        <v/>
      </c>
      <c r="K42" s="56" t="inlineStr">
        <is>
          <t>El reentrenamiento hace que uno o más alumnos pasen a nivel ALTO por primera vez (no lo estaban antes de esa carga)</t>
        </is>
      </c>
      <c r="L42" s="56" t="inlineStr">
        <is>
          <t>Termina de procesarse el nuevo Excel</t>
        </is>
      </c>
      <c r="M42" s="56" t="inlineStr">
        <is>
          <t>Sistema envía un correo a los perfiles activos admin/director/coordinador de ese colegio, indicando cuántos alumnos nuevos entraron en ALTO</t>
        </is>
      </c>
    </row>
    <row r="43" ht="60" customHeight="1">
      <c r="A43" s="70" t="n"/>
      <c r="B43" s="70" t="n"/>
      <c r="C43" s="70" t="n"/>
      <c r="D43" s="70" t="n"/>
      <c r="E43" s="70" t="n"/>
      <c r="F43" s="70" t="n"/>
      <c r="G43" s="70" t="n"/>
      <c r="H43" s="56" t="n">
        <v>2</v>
      </c>
      <c r="I43" s="56" t="inlineStr">
        <is>
          <t>Sin alumnos nuevos en ALTO</t>
        </is>
      </c>
      <c r="J43" s="53">
        <f>CONCATENATE(A42,"-",H43)</f>
        <v/>
      </c>
      <c r="K43" s="56" t="inlineStr">
        <is>
          <t>Ningún alumno pasa a ALTO por primera vez, o es la primera carga del colegio (sin estado previo)</t>
        </is>
      </c>
      <c r="L43" s="56" t="inlineStr">
        <is>
          <t>Termina de procesarse el Excel</t>
        </is>
      </c>
      <c r="M43" s="56" t="inlineStr">
        <is>
          <t>Sistema no envía ninguna alerta</t>
        </is>
      </c>
    </row>
    <row r="44" ht="60" customHeight="1">
      <c r="A44" s="53" t="inlineStr">
        <is>
          <t>HU0018</t>
        </is>
      </c>
      <c r="B44" s="53" t="inlineStr">
        <is>
          <t>Coordinador Académico</t>
        </is>
      </c>
      <c r="C44" s="54" t="inlineStr">
        <is>
          <t>Necesito:</t>
        </is>
      </c>
      <c r="D44" s="53" t="inlineStr">
        <is>
          <t>que el sistema sugiera automáticamente una acción de intervención cuando no escribo una descripción</t>
        </is>
      </c>
      <c r="E44" s="54" t="inlineStr">
        <is>
          <t>Con la finalidad de:</t>
        </is>
      </c>
      <c r="F44" s="53" t="inlineStr">
        <is>
          <t>no dejar una intervención sin ningún detalle registrado</t>
        </is>
      </c>
      <c r="G44" s="53">
        <f>CONCATENATE("Como  ",B44," quiero ", D44," para ",F44)</f>
        <v/>
      </c>
      <c r="H44" s="56" t="n">
        <v>1</v>
      </c>
      <c r="I44" s="56" t="inlineStr">
        <is>
          <t>Descripción de respaldo al guardar</t>
        </is>
      </c>
      <c r="J44" s="53">
        <f>CONCATENATE(A44,"-",H44)</f>
        <v/>
      </c>
      <c r="K44" s="56" t="inlineStr">
        <is>
          <t>Registra una intervención sin escribir descripción</t>
        </is>
      </c>
      <c r="L44" s="56" t="inlineStr">
        <is>
          <t>Guarda la intervención</t>
        </is>
      </c>
      <c r="M44" s="56" t="inlineStr">
        <is>
          <t>Sistema guarda como descripción un texto de regla fija según el riesgo: BAJO → "Mantener seguimiento regular y revisar evolución en el siguiente periodo"; MEDIO → "Programar monitoreo académico y refuerzo preventivo"; ALTO con un área de bajo rendimiento identificada (Lectura, Ciencias, Matemática, Comunicación, varias áreas, rendimiento múltiple o contexto socioeconómico) → un texto de refuerzo propio de esa área; ALTO sin área específica identificada → "Monitoreo académico continuo y revisión periódica"</t>
        </is>
      </c>
    </row>
    <row r="45" ht="60" customHeight="1">
      <c r="A45" s="70" t="n"/>
      <c r="B45" s="70" t="n"/>
      <c r="C45" s="70" t="n"/>
      <c r="D45" s="70" t="n"/>
      <c r="E45" s="70" t="n"/>
      <c r="F45" s="70" t="n"/>
      <c r="G45" s="70" t="n"/>
      <c r="H45" s="56" t="n">
        <v>2</v>
      </c>
      <c r="I45" s="56" t="inlineStr">
        <is>
          <t>Mismo texto en el correo de alerta</t>
        </is>
      </c>
      <c r="J45" s="53">
        <f>CONCATENATE(A44,"-",H45)</f>
        <v/>
      </c>
      <c r="K45" s="56" t="inlineStr">
        <is>
          <t>Envía la alerta del alumno al equipo por correo</t>
        </is>
      </c>
      <c r="L45" s="56" t="inlineStr">
        <is>
          <t>Selecciona "Enviar alerta al equipo"</t>
        </is>
      </c>
      <c r="M45" s="56" t="inlineStr">
        <is>
          <t>El correo incluye una "Acción recomendada" con ese mismo texto de regla fija</t>
        </is>
      </c>
    </row>
    <row r="46" ht="81.75" customHeight="1">
      <c r="A46" s="53" t="inlineStr">
        <is>
          <t>HU0019</t>
        </is>
      </c>
      <c r="B46" s="53" t="inlineStr">
        <is>
          <t>Coordinador Académico</t>
        </is>
      </c>
      <c r="C46" s="54" t="inlineStr">
        <is>
          <t>Necesito:</t>
        </is>
      </c>
      <c r="D46" s="53" t="inlineStr">
        <is>
          <t>registrar las intervenciones realizadas a estudiantes</t>
        </is>
      </c>
      <c r="E46" s="54" t="inlineStr">
        <is>
          <t>Con la finalidad de:</t>
        </is>
      </c>
      <c r="F46" s="53" t="inlineStr">
        <is>
          <t>hacer seguimiento a las acciones tomadas</t>
        </is>
      </c>
      <c r="G46" s="53">
        <f>CONCATENATE("Como  ",B46," quiero ", D46," para ",F46)</f>
        <v/>
      </c>
      <c r="H46" s="56" t="n">
        <v>1</v>
      </c>
      <c r="I46" s="56" t="inlineStr">
        <is>
          <t>Registro exitoso</t>
        </is>
      </c>
      <c r="J46" s="53">
        <f>CONCATENATE(A46,"-",H46)</f>
        <v/>
      </c>
      <c r="K46" s="56" t="inlineStr">
        <is>
          <t>Alumno seleccionado, tipo de intervención elegido (tutoría/reunión/derivación/seguimiento) y descripción opcional</t>
        </is>
      </c>
      <c r="L46" s="56" t="inlineStr">
        <is>
          <t>Hace clic en "Registrar"</t>
        </is>
      </c>
      <c r="M46" s="56" t="inlineStr">
        <is>
          <t>Sistema guarda la intervención con esa descripción (si se dejó vacía, ya llega resuelta con el texto de regla fija de HU018 -- no es un comportamiento propio de este escenario), estado inicial "pendiente" y fecha actual</t>
        </is>
      </c>
    </row>
    <row r="47" ht="70.5" customHeight="1">
      <c r="A47" s="70" t="n"/>
      <c r="B47" s="70" t="n"/>
      <c r="C47" s="70" t="n"/>
      <c r="D47" s="70" t="n"/>
      <c r="E47" s="70" t="n"/>
      <c r="F47" s="70" t="n"/>
      <c r="G47" s="70" t="n"/>
      <c r="H47" s="56" t="n">
        <v>2</v>
      </c>
      <c r="I47" s="56" t="inlineStr">
        <is>
          <t>Registro bloqueado</t>
        </is>
      </c>
      <c r="J47" s="53">
        <f>CONCATENATE(A46,"-",H47)</f>
        <v/>
      </c>
      <c r="K47" s="56" t="inlineStr">
        <is>
          <t>Ningún alumno seleccionado (el botón permanece deshabilitado) o, con un alumno ya seleccionado, un guardado anterior todavía en curso</t>
        </is>
      </c>
      <c r="L47" s="56" t="inlineStr">
        <is>
          <t>Intenta hacer clic en "Registrar" en cualquiera de esos dos momentos</t>
        </is>
      </c>
      <c r="M47" s="56" t="inlineStr">
        <is>
          <t>Sistema no ejecuta un segundo registro: si no hay alumno seleccionado, el botón sigue deshabilitado; si ya se está guardando, se deshabilita y muestra "Guardando..." hasta terminar</t>
        </is>
      </c>
    </row>
    <row r="48" ht="60" customHeight="1">
      <c r="A48" s="53" t="inlineStr">
        <is>
          <t>HU0020</t>
        </is>
      </c>
      <c r="B48" s="53" t="inlineStr">
        <is>
          <t>Director / Coordinador</t>
        </is>
      </c>
      <c r="C48" s="54" t="inlineStr">
        <is>
          <t>Necesito:</t>
        </is>
      </c>
      <c r="D48" s="53" t="inlineStr">
        <is>
          <t>enterarme cuando otro miembro de mi colegio anota o agenda un hito sobre un alumno</t>
        </is>
      </c>
      <c r="E48" s="54" t="inlineStr">
        <is>
          <t>Con la finalidad de:</t>
        </is>
      </c>
      <c r="F48" s="53" t="inlineStr">
        <is>
          <t>no tener que revisar cada alumno manualmente para estar al tanto</t>
        </is>
      </c>
      <c r="G48" s="53">
        <f>CONCATENATE("Como  ",B48," quiero ", D48," para ",F48)</f>
        <v/>
      </c>
      <c r="H48" s="56" t="n">
        <v>1</v>
      </c>
      <c r="I48" s="56" t="inlineStr">
        <is>
          <t>Notificación recibida</t>
        </is>
      </c>
      <c r="J48" s="53">
        <f>CONCATENATE(A48,"-",H48)</f>
        <v/>
      </c>
      <c r="K48" s="56" t="inlineStr">
        <is>
          <t>Otro Director/Coordinador de su mismo colegio registra una anotación o un hito</t>
        </is>
      </c>
      <c r="L48" s="56" t="inlineStr">
        <is>
          <t>Se guarda esa anotación o hito</t>
        </is>
      </c>
      <c r="M48" s="56" t="inlineStr">
        <is>
          <t>Sistema crea una notificación para cada Director/Coordinador activo del colegio (menos el autor) y la campana la muestra en tiempo real</t>
        </is>
      </c>
    </row>
    <row r="49" ht="60" customHeight="1">
      <c r="A49" s="70" t="n"/>
      <c r="B49" s="70" t="n"/>
      <c r="C49" s="70" t="n"/>
      <c r="D49" s="70" t="n"/>
      <c r="E49" s="70" t="n"/>
      <c r="F49" s="70" t="n"/>
      <c r="G49" s="70" t="n"/>
      <c r="H49" s="56" t="n">
        <v>2</v>
      </c>
      <c r="I49" s="56" t="inlineStr">
        <is>
          <t>Marcar como leída no afecta a los demás</t>
        </is>
      </c>
      <c r="J49" s="53">
        <f>CONCATENATE(A48,"-",H49)</f>
        <v/>
      </c>
      <c r="K49" s="56" t="inlineStr">
        <is>
          <t>Notificación sin leer en su propia bandeja</t>
        </is>
      </c>
      <c r="L49" s="56" t="inlineStr">
        <is>
          <t>La marca como leída (una o todas)</t>
        </is>
      </c>
      <c r="M49" s="56" t="inlineStr">
        <is>
          <t>Sistema actualiza solo su copia; la de los demás destinatarios sigue como estaba</t>
        </is>
      </c>
    </row>
    <row r="50" ht="87.75" customHeight="1">
      <c r="A50" s="53" t="inlineStr">
        <is>
          <t>HU0021</t>
        </is>
      </c>
      <c r="B50" s="53" t="inlineStr">
        <is>
          <t>Director / Coordinador Académico</t>
        </is>
      </c>
      <c r="C50" s="54" t="inlineStr">
        <is>
          <t>Necesito:</t>
        </is>
      </c>
      <c r="D50" s="53" t="inlineStr">
        <is>
          <t>escribir anotaciones (notas de texto libre) sobre un alumno de mi colegio</t>
        </is>
      </c>
      <c r="E50" s="54" t="inlineStr">
        <is>
          <t>Con la finalidad de:</t>
        </is>
      </c>
      <c r="F50" s="53" t="inlineStr">
        <is>
          <t>dejar constancia de observaciones puntuales, visibles para todo el equipo</t>
        </is>
      </c>
      <c r="G50" s="53">
        <f>CONCATENATE("Como  ",B50," quiero ", D50," para ",F50)</f>
        <v/>
      </c>
      <c r="H50" s="56" t="n">
        <v>1</v>
      </c>
      <c r="I50" s="56" t="inlineStr">
        <is>
          <t>Anotación guardada</t>
        </is>
      </c>
      <c r="J50" s="53">
        <f>CONCATENATE(A50,"-",H50)</f>
        <v/>
      </c>
      <c r="K50" s="56" t="inlineStr">
        <is>
          <t>Alumno seleccionado y texto no vacío</t>
        </is>
      </c>
      <c r="L50" s="56" t="inlineStr">
        <is>
          <t>Escribe la anotación y presiona "Guardar"</t>
        </is>
      </c>
      <c r="M50" s="56" t="inlineStr">
        <is>
          <t>Sistema la guarda, la muestra primero en la lista (más reciente arriba), notifica al equipo del colegio y la deja visible para ese mismo equipo (cualquier Director o Coordinador de la misma IE, o superadmin), no para usuarios de otros colegios</t>
        </is>
      </c>
    </row>
    <row r="51" ht="60" customHeight="1">
      <c r="A51" s="70" t="n"/>
      <c r="B51" s="70" t="n"/>
      <c r="C51" s="70" t="n"/>
      <c r="D51" s="70" t="n"/>
      <c r="E51" s="70" t="n"/>
      <c r="F51" s="70" t="n"/>
      <c r="G51" s="70" t="n"/>
      <c r="H51" s="56" t="n">
        <v>2</v>
      </c>
      <c r="I51" s="56" t="inlineStr">
        <is>
          <t>Sin anotaciones previas</t>
        </is>
      </c>
      <c r="J51" s="53">
        <f>CONCATENATE(A50,"-",H51)</f>
        <v/>
      </c>
      <c r="K51" s="56" t="inlineStr">
        <is>
          <t>Alumno sin ninguna anotación registrada</t>
        </is>
      </c>
      <c r="L51" s="56" t="inlineStr">
        <is>
          <t>Abre la pestaña "Anotaciones"</t>
        </is>
      </c>
      <c r="M51" s="56" t="inlineStr">
        <is>
          <t>Sistema muestra "Sin anotaciones para este alumno. Escribe la primera abajo."</t>
        </is>
      </c>
    </row>
    <row r="52" ht="82.5" customHeight="1">
      <c r="A52" s="53" t="inlineStr">
        <is>
          <t>HU0022</t>
        </is>
      </c>
      <c r="B52" s="53" t="inlineStr">
        <is>
          <t>Director / Coordinador Académico</t>
        </is>
      </c>
      <c r="C52" s="54" t="inlineStr">
        <is>
          <t>Necesito:</t>
        </is>
      </c>
      <c r="D52" s="53" t="inlineStr">
        <is>
          <t>definir hitos concretos con fecha objetivo en el plan de seguimiento de un alumno</t>
        </is>
      </c>
      <c r="E52" s="54" t="inlineStr">
        <is>
          <t>Con la finalidad de:</t>
        </is>
      </c>
      <c r="F52" s="53" t="inlineStr">
        <is>
          <t>llevar un registro ordenado de las acciones planeadas para ese alumno</t>
        </is>
      </c>
      <c r="G52" s="53">
        <f>CONCATENATE("Como  ",B52," quiero ", D52," para ",F52)</f>
        <v/>
      </c>
      <c r="H52" s="56" t="n">
        <v>1</v>
      </c>
      <c r="I52" s="56" t="inlineStr">
        <is>
          <t>Hito agregado</t>
        </is>
      </c>
      <c r="J52" s="53">
        <f>CONCATENATE(A52,"-",H52)</f>
        <v/>
      </c>
      <c r="K52" s="56" t="inlineStr">
        <is>
          <t>Un texto de hito y una fecha objetivo (con fecha por defecto si no se elige una)</t>
        </is>
      </c>
      <c r="L52" s="56" t="inlineStr">
        <is>
          <t>Selecciona "Agregar"</t>
        </is>
      </c>
      <c r="M52" s="56" t="inlineStr">
        <is>
          <t>Sistema lo guarda de inmediato y notifica al equipo del colegio; el hito queda visible para ese mismo equipo (cualquier Director o Coordinador de la misma IE, o superadmin), no para usuarios de otros colegios</t>
        </is>
      </c>
    </row>
    <row r="53" ht="60" customHeight="1">
      <c r="A53" s="70" t="n"/>
      <c r="B53" s="70" t="n"/>
      <c r="C53" s="70" t="n"/>
      <c r="D53" s="70" t="n"/>
      <c r="E53" s="70" t="n"/>
      <c r="F53" s="70" t="n"/>
      <c r="G53" s="70" t="n"/>
      <c r="H53" s="56" t="n">
        <v>2</v>
      </c>
      <c r="I53" s="56" t="inlineStr">
        <is>
          <t>Marcar como completado</t>
        </is>
      </c>
      <c r="J53" s="53">
        <f>CONCATENATE(A52,"-",H53)</f>
        <v/>
      </c>
      <c r="K53" s="56" t="inlineStr">
        <is>
          <t>Un hito de cualquier miembro del equipo (el Director puede marcar cualquiera; el Coordinador solo los propios)</t>
        </is>
      </c>
      <c r="L53" s="56" t="inlineStr">
        <is>
          <t>Selecciona la casilla del hito</t>
        </is>
      </c>
      <c r="M53" s="56" t="inlineStr">
        <is>
          <t>Sistema lo marca como completado (tachado) si el usuario tiene permiso; si no, revierte el cambio visual y muestra 'Error al actualizar el hito.'</t>
        </is>
      </c>
    </row>
    <row r="54" ht="60" customHeight="1">
      <c r="A54" s="53" t="inlineStr">
        <is>
          <t>HU0023</t>
        </is>
      </c>
      <c r="B54" s="53" t="inlineStr">
        <is>
          <t>Coordinador Académico</t>
        </is>
      </c>
      <c r="C54" s="54" t="inlineStr">
        <is>
          <t>Necesito:</t>
        </is>
      </c>
      <c r="D54" s="53" t="inlineStr">
        <is>
          <t>enviar el plan de seguimiento (hitos) de un alumno a revisión de mi Director, para que lo apruebe o pida cambios antes de darlo por definitivo</t>
        </is>
      </c>
      <c r="E54" s="54" t="inlineStr">
        <is>
          <t>Con la finalidad de:</t>
        </is>
      </c>
      <c r="F54" s="53" t="inlineStr">
        <is>
          <t>tener la validación del Director antes de considerar el plan como definitivo</t>
        </is>
      </c>
      <c r="G54" s="53">
        <f>CONCATENATE("Como  ",B54," quiero ", D54," para ",F54)</f>
        <v/>
      </c>
      <c r="H54" s="56" t="n">
        <v>1</v>
      </c>
      <c r="I54" s="56" t="inlineStr">
        <is>
          <t>Envío exitoso</t>
        </is>
      </c>
      <c r="J54" s="53">
        <f>CONCATENATE(A54,"-",H54)</f>
        <v/>
      </c>
      <c r="K54" s="56" t="inlineStr">
        <is>
          <t>Alumno con al menos un hito definido en su plan</t>
        </is>
      </c>
      <c r="L54" s="56" t="inlineStr">
        <is>
          <t>Selecciona "Enviar a revisión"</t>
        </is>
      </c>
      <c r="M54" s="56" t="inlineStr">
        <is>
          <t>Sistema marca el plan como "En revisión" y notifica a todo el equipo del colegio (Director y Coordinadores, menos quien lo envía)</t>
        </is>
      </c>
    </row>
    <row r="55" ht="60" customHeight="1">
      <c r="A55" s="69" t="n"/>
      <c r="B55" s="69" t="n"/>
      <c r="C55" s="69" t="n"/>
      <c r="D55" s="69" t="n"/>
      <c r="E55" s="69" t="n"/>
      <c r="F55" s="69" t="n"/>
      <c r="G55" s="69" t="n"/>
      <c r="H55" s="56" t="n">
        <v>2</v>
      </c>
      <c r="I55" s="56" t="inlineStr">
        <is>
          <t>Director aprueba</t>
        </is>
      </c>
      <c r="J55" s="53">
        <f>CONCATENATE(A54,"-",H55)</f>
        <v/>
      </c>
      <c r="K55" s="56" t="inlineStr">
        <is>
          <t>Plan en revisión</t>
        </is>
      </c>
      <c r="L55" s="56" t="inlineStr">
        <is>
          <t>El Director selecciona "Aprobar" (desde el detalle del alumno o desde la cola "Planes a revisión" en su pestaña "Equipo")</t>
        </is>
      </c>
      <c r="M55" s="56" t="inlineStr">
        <is>
          <t>Sistema marca el plan como "Aprobado" y notifica puntualmente a quien lo envió</t>
        </is>
      </c>
    </row>
    <row r="56" ht="60" customHeight="1">
      <c r="A56" s="70" t="n"/>
      <c r="B56" s="70" t="n"/>
      <c r="C56" s="70" t="n"/>
      <c r="D56" s="70" t="n"/>
      <c r="E56" s="70" t="n"/>
      <c r="F56" s="70" t="n"/>
      <c r="G56" s="70" t="n"/>
      <c r="H56" s="56" t="n">
        <v>3</v>
      </c>
      <c r="I56" s="56" t="inlineStr">
        <is>
          <t>Director pide cambios</t>
        </is>
      </c>
      <c r="J56" s="53">
        <f>CONCATENATE(A54,"-",H56)</f>
        <v/>
      </c>
      <c r="K56" s="56" t="inlineStr">
        <is>
          <t>Plan en revisión</t>
        </is>
      </c>
      <c r="L56" s="56" t="inlineStr">
        <is>
          <t>El Director selecciona "Pedir cambios" y escribe un comentario</t>
        </is>
      </c>
      <c r="M56" s="56" t="inlineStr">
        <is>
          <t>Sistema marca el plan como "Rechazado" con ese comentario visible, notifica puntualmente a quien lo envió, y vuelve a habilitar "Enviar a revisión" para que lo reenvíe</t>
        </is>
      </c>
    </row>
    <row r="57" ht="61" customHeight="1">
      <c r="A57" s="53" t="inlineStr">
        <is>
          <t>HU0024</t>
        </is>
      </c>
      <c r="B57" s="53" t="inlineStr">
        <is>
          <t>Coordinador Académico</t>
        </is>
      </c>
      <c r="C57" s="54" t="inlineStr">
        <is>
          <t>Necesito:</t>
        </is>
      </c>
      <c r="D57" s="53" t="inlineStr">
        <is>
          <t>monitorear el riesgo académico en el tiempo</t>
        </is>
      </c>
      <c r="E57" s="54" t="inlineStr">
        <is>
          <t>Con la finalidad de:</t>
        </is>
      </c>
      <c r="F57" s="53" t="inlineStr">
        <is>
          <t>evaluar la efectividad de las intervenciones</t>
        </is>
      </c>
      <c r="G57" s="53">
        <f>CONCATENATE("Como  ",B57," quiero ", D57," para ",F57)</f>
        <v/>
      </c>
      <c r="H57" s="56" t="n">
        <v>1</v>
      </c>
      <c r="I57" s="56" t="inlineStr">
        <is>
          <t>Seguimiento disponible</t>
        </is>
      </c>
      <c r="J57" s="53">
        <f>CONCATENATE(A57,"-",H57)</f>
        <v/>
      </c>
      <c r="K57" s="56" t="inlineStr">
        <is>
          <t>Alumno con notas de al menos un bimestre cargado</t>
        </is>
      </c>
      <c r="L57" s="56" t="inlineStr">
        <is>
          <t>Abre el detalle del alumno y selecciona «Ver Historial de Riesgo»</t>
        </is>
      </c>
      <c r="M57" s="56" t="inlineStr">
        <is>
          <t>Sistema muestra el historial de riesgo del alumno por bimestre (B1-B4): en cada uno indica si estuvo 'En riesgo' (nota de 13 o menos en Matemática o Comunicación), 'Sin riesgo' o 'Sin datos'</t>
        </is>
      </c>
    </row>
    <row r="58" ht="60" customHeight="1">
      <c r="A58" s="70" t="n"/>
      <c r="B58" s="70" t="n"/>
      <c r="C58" s="70" t="n"/>
      <c r="D58" s="70" t="n"/>
      <c r="E58" s="70" t="n"/>
      <c r="F58" s="70" t="n"/>
      <c r="G58" s="70" t="n"/>
      <c r="H58" s="56" t="n">
        <v>2</v>
      </c>
      <c r="I58" s="56" t="inlineStr">
        <is>
          <t>Sin historial</t>
        </is>
      </c>
      <c r="J58" s="53">
        <f>CONCATENATE(A57,"-",H58)</f>
        <v/>
      </c>
      <c r="K58" s="56" t="inlineStr">
        <is>
          <t>Alumno sin ninguna nota de bimestre cargada</t>
        </is>
      </c>
      <c r="L58" s="56" t="inlineStr">
        <is>
          <t>Abre el detalle del alumno y selecciona «Ver Historial de Riesgo»</t>
        </is>
      </c>
      <c r="M58" s="56" t="inlineStr">
        <is>
          <t>Sistema muestra 'Sin datos históricos'</t>
        </is>
      </c>
    </row>
    <row r="59" ht="60" customHeight="1">
      <c r="A59" s="53" t="inlineStr">
        <is>
          <t>HU0025</t>
        </is>
      </c>
      <c r="B59" s="53" t="inlineStr">
        <is>
          <t>Coordinador Académico</t>
        </is>
      </c>
      <c r="C59" s="54" t="inlineStr">
        <is>
          <t>Necesito:</t>
        </is>
      </c>
      <c r="D59" s="53" t="inlineStr">
        <is>
          <t>generar reportes históricos del rendimiento estudiantil</t>
        </is>
      </c>
      <c r="E59" s="54" t="inlineStr">
        <is>
          <t>Con la finalidad de:</t>
        </is>
      </c>
      <c r="F59" s="53" t="inlineStr">
        <is>
          <t>analizar tendencias en el tiempo</t>
        </is>
      </c>
      <c r="G59" s="53">
        <f>CONCATENATE("Como  ",B59," quiero ", D59," para ",F59)</f>
        <v/>
      </c>
      <c r="H59" s="56" t="n">
        <v>1</v>
      </c>
      <c r="I59" s="56" t="inlineStr">
        <is>
          <t>Reporte generado</t>
        </is>
      </c>
      <c r="J59" s="53">
        <f>CONCATENATE(A59,"-",H59)</f>
        <v/>
      </c>
      <c r="K59" s="56" t="inlineStr">
        <is>
          <t>Datos históricos disponibles</t>
        </is>
      </c>
      <c r="L59" s="56" t="inlineStr">
        <is>
          <t>Solicita el reporte</t>
        </is>
      </c>
      <c r="M59" s="56" t="inlineStr">
        <is>
          <t>Sistema exporta el historial de versiones del modelo en CSV</t>
        </is>
      </c>
    </row>
    <row r="60" ht="60" customHeight="1">
      <c r="A60" s="70" t="n"/>
      <c r="B60" s="70" t="n"/>
      <c r="C60" s="70" t="n"/>
      <c r="D60" s="70" t="n"/>
      <c r="E60" s="70" t="n"/>
      <c r="F60" s="70" t="n"/>
      <c r="G60" s="70" t="n"/>
      <c r="H60" s="56" t="n">
        <v>2</v>
      </c>
      <c r="I60" s="56" t="inlineStr">
        <is>
          <t>Sin datos históricos</t>
        </is>
      </c>
      <c r="J60" s="53">
        <f>CONCATENATE(A59,"-",H60)</f>
        <v/>
      </c>
      <c r="K60" s="56" t="inlineStr">
        <is>
          <t>Colegio con modelo entrenado pero sin ninguna versión registrada en el histórico de reentrenamientos</t>
        </is>
      </c>
      <c r="L60" s="56" t="inlineStr">
        <is>
          <t>Abre el panel «Histórico de reentrenamientos» en la pestaña Datos</t>
        </is>
      </c>
      <c r="M60" s="56" t="inlineStr">
        <is>
          <t>Sistema muestra 'Sin datos históricos' (cada Excel que se cargue a partir de entonces quedará registrado como una versión)</t>
        </is>
      </c>
    </row>
    <row r="61" ht="60" customHeight="1">
      <c r="A61" s="53" t="inlineStr">
        <is>
          <t>HU0026</t>
        </is>
      </c>
      <c r="B61" s="53" t="inlineStr">
        <is>
          <t>Coordinador Académico</t>
        </is>
      </c>
      <c r="C61" s="54" t="inlineStr">
        <is>
          <t>Necesito:</t>
        </is>
      </c>
      <c r="D61" s="53" t="inlineStr">
        <is>
          <t>exportar listados de estudiantes en riesgo</t>
        </is>
      </c>
      <c r="E61" s="54" t="inlineStr">
        <is>
          <t>Con la finalidad de:</t>
        </is>
      </c>
      <c r="F61" s="53" t="inlineStr">
        <is>
          <t>compartirlos con el equipo docente</t>
        </is>
      </c>
      <c r="G61" s="53">
        <f>CONCATENATE("Como  ",B61," quiero ", D61," para ",F61)</f>
        <v/>
      </c>
      <c r="H61" s="56" t="n">
        <v>1</v>
      </c>
      <c r="I61" s="56" t="inlineStr">
        <is>
          <t>Exportación exitosa</t>
        </is>
      </c>
      <c r="J61" s="53">
        <f>CONCATENATE(A61,"-",H61)</f>
        <v/>
      </c>
      <c r="K61" s="56" t="inlineStr">
        <is>
          <t>Datos disponibles</t>
        </is>
      </c>
      <c r="L61" s="56" t="inlineStr">
        <is>
          <t>Solicita la exportación</t>
        </is>
      </c>
      <c r="M61" s="56" t="inlineStr">
        <is>
          <t>Sistema genera el archivo CSV o PDF</t>
        </is>
      </c>
    </row>
    <row r="62" ht="45" customHeight="1">
      <c r="A62" s="70" t="n"/>
      <c r="B62" s="70" t="n"/>
      <c r="C62" s="70" t="n"/>
      <c r="D62" s="70" t="n"/>
      <c r="E62" s="70" t="n"/>
      <c r="F62" s="70" t="n"/>
      <c r="G62" s="70" t="n"/>
      <c r="H62" s="56" t="n">
        <v>2</v>
      </c>
      <c r="I62" s="56" t="inlineStr">
        <is>
          <t>Exportación con lista vacía</t>
        </is>
      </c>
      <c r="J62" s="53">
        <f>CONCATENATE(A61,"-",H62)</f>
        <v/>
      </c>
      <c r="K62" s="56" t="inlineStr">
        <is>
          <t>Ningún estudiante en la lista filtrada</t>
        </is>
      </c>
      <c r="L62" s="56" t="inlineStr">
        <is>
          <t>Solicita la exportación</t>
        </is>
      </c>
      <c r="M62" s="56" t="inlineStr">
        <is>
          <t>Sistema genera igual el archivo, solo con encabezados (la exportación es una operación local que no depende de la red, por lo que no tiene un modo de fallo por conexión)</t>
        </is>
      </c>
    </row>
    <row r="63" ht="60" customHeight="1">
      <c r="A63" s="53" t="inlineStr">
        <is>
          <t>HU0027</t>
        </is>
      </c>
      <c r="B63" s="53" t="inlineStr">
        <is>
          <t>Coordinador Académico</t>
        </is>
      </c>
      <c r="C63" s="54" t="inlineStr">
        <is>
          <t>Necesito:</t>
        </is>
      </c>
      <c r="D63" s="53" t="inlineStr">
        <is>
          <t>exportar el reporte PDF de un alumno de mi colegio</t>
        </is>
      </c>
      <c r="E63" s="54" t="inlineStr">
        <is>
          <t>Con la finalidad de:</t>
        </is>
      </c>
      <c r="F63" s="53" t="inlineStr">
        <is>
          <t>compartirlo o imprimirlo en reuniones con el equipo o la familia</t>
        </is>
      </c>
      <c r="G63" s="53">
        <f>CONCATENATE("Como  ",B63," quiero ", D63," para ",F63)</f>
        <v/>
      </c>
      <c r="H63" s="56" t="n">
        <v>1</v>
      </c>
      <c r="I63" s="56" t="inlineStr">
        <is>
          <t>Reporte generado</t>
        </is>
      </c>
      <c r="J63" s="53">
        <f>CONCATENATE(A63,"-",H63)</f>
        <v/>
      </c>
      <c r="K63" s="56" t="inlineStr">
        <is>
          <t>Alumno del colegio propio seleccionado</t>
        </is>
      </c>
      <c r="L63" s="56" t="inlineStr">
        <is>
          <t>Selecciona 'PDF' en el detalle del alumno</t>
        </is>
      </c>
      <c r="M63" s="56" t="inlineStr">
        <is>
          <t>Sistema genera un PDF de 1 página con salón, notas por bimestre, conducta y los factores de riesgo de ese alumno</t>
        </is>
      </c>
    </row>
    <row r="64" ht="60" customHeight="1">
      <c r="A64" s="70" t="n"/>
      <c r="B64" s="70" t="n"/>
      <c r="C64" s="70" t="n"/>
      <c r="D64" s="70" t="n"/>
      <c r="E64" s="70" t="n"/>
      <c r="F64" s="70" t="n"/>
      <c r="G64" s="70" t="n"/>
      <c r="H64" s="56" t="n">
        <v>2</v>
      </c>
      <c r="I64" s="56" t="inlineStr">
        <is>
          <t>Alumno sin notas de bimestre</t>
        </is>
      </c>
      <c r="J64" s="53">
        <f>CONCATENATE(A63,"-",H64)</f>
        <v/>
      </c>
      <c r="K64" s="56" t="inlineStr">
        <is>
          <t>Alumno sin ninguna nota de bimestre (B1-B4) cargada todavía</t>
        </is>
      </c>
      <c r="L64" s="56" t="inlineStr">
        <is>
          <t>Selecciona 'PDF' en el detalle del alumno</t>
        </is>
      </c>
      <c r="M64" s="56" t="inlineStr">
        <is>
          <t>Sistema genera igual el PDF, indicando que aún no hay notas para estimar los factores de riesgo, en vez de fallar</t>
        </is>
      </c>
    </row>
    <row r="65" ht="60" customHeight="1">
      <c r="A65" s="53" t="inlineStr">
        <is>
          <t>HU0028</t>
        </is>
      </c>
      <c r="B65" s="53" t="inlineStr">
        <is>
          <t>Administrador del Sistema</t>
        </is>
      </c>
      <c r="C65" s="54" t="inlineStr">
        <is>
          <t>Necesito:</t>
        </is>
      </c>
      <c r="D65" s="53" t="inlineStr">
        <is>
          <t>integrar datos de distintas fuentes institucionales</t>
        </is>
      </c>
      <c r="E65" s="54" t="inlineStr">
        <is>
          <t>Con la finalidad de:</t>
        </is>
      </c>
      <c r="F65" s="53" t="inlineStr">
        <is>
          <t>tener una visión completa del estudiante</t>
        </is>
      </c>
      <c r="G65" s="53">
        <f>CONCATENATE("Como  ",B65," quiero ", D65," para ",F65)</f>
        <v/>
      </c>
      <c r="H65" s="56" t="n">
        <v>1</v>
      </c>
      <c r="I65" s="56" t="inlineStr">
        <is>
          <t>Integración correcta</t>
        </is>
      </c>
      <c r="J65" s="53">
        <f>CONCATENATE(A65,"-",H65)</f>
        <v/>
      </c>
      <c r="K65" s="56" t="inlineStr">
        <is>
          <t>Archivos Excel de notas y de conducta del colegio disponibles</t>
        </is>
      </c>
      <c r="L65" s="56" t="inlineStr">
        <is>
          <t>Sube ambos archivos para entrenar el modelo</t>
        </is>
      </c>
      <c r="M65" s="56" t="inlineStr">
        <is>
          <t>Sistema combina notas y conducta en un mismo modelo, aunque el colegio las suba como archivos separados</t>
        </is>
      </c>
    </row>
    <row r="66" ht="60" customHeight="1">
      <c r="A66" s="70" t="n"/>
      <c r="B66" s="70" t="n"/>
      <c r="C66" s="70" t="n"/>
      <c r="D66" s="70" t="n"/>
      <c r="E66" s="70" t="n"/>
      <c r="F66" s="70" t="n"/>
      <c r="G66" s="70" t="n"/>
      <c r="H66" s="56" t="n">
        <v>2</v>
      </c>
      <c r="I66" s="56" t="inlineStr">
        <is>
          <t>Error en fuente</t>
        </is>
      </c>
      <c r="J66" s="53">
        <f>CONCATENATE(A65,"-",H66)</f>
        <v/>
      </c>
      <c r="K66" s="56" t="inlineStr">
        <is>
          <t>Backend (FastAPI) desconectado</t>
        </is>
      </c>
      <c r="L66" s="56" t="inlineStr">
        <is>
          <t>Intenta cargar el dashboard</t>
        </is>
      </c>
      <c r="M66" s="56" t="inlineStr">
        <is>
          <t>Sistema muestra un aviso genérico de 'backend desconectado' (no identifica por nombre cuál fuente específica falló)</t>
        </is>
      </c>
    </row>
    <row r="67" ht="60" customHeight="1">
      <c r="A67" s="53" t="inlineStr">
        <is>
          <t>HU0029</t>
        </is>
      </c>
      <c r="B67" s="53" t="inlineStr">
        <is>
          <t>Administrador del Sistema</t>
        </is>
      </c>
      <c r="C67" s="54" t="inlineStr">
        <is>
          <t>Necesito:</t>
        </is>
      </c>
      <c r="D67" s="53" t="inlineStr">
        <is>
          <t>que el sistema descarte automáticamente las hojas o archivos con datos insuficientes o corruptos al procesar el Excel del colegio, sin bloquear el resto de la carga</t>
        </is>
      </c>
      <c r="E67" s="54" t="inlineStr">
        <is>
          <t>Con la finalidad de:</t>
        </is>
      </c>
      <c r="F67" s="53" t="inlineStr">
        <is>
          <t>asegurar que un archivo problemático no impida entrenar el modelo con el resto de los datos válidos</t>
        </is>
      </c>
      <c r="G67" s="53">
        <f>CONCATENATE("Como  ",B67," quiero ", D67," para ",F67)</f>
        <v/>
      </c>
      <c r="H67" s="56" t="n">
        <v>1</v>
      </c>
      <c r="I67" s="56" t="inlineStr">
        <is>
          <t>Omisión exitosa</t>
        </is>
      </c>
      <c r="J67" s="53">
        <f>CONCATENATE(A67,"-",H67)</f>
        <v/>
      </c>
      <c r="K67" s="56" t="inlineStr">
        <is>
          <t>Un archivo/hoja con muy pocos alumnos (menos de 5) o con un error de formato</t>
        </is>
      </c>
      <c r="L67" s="56" t="inlineStr">
        <is>
          <t>Se procesa la carga completa</t>
        </is>
      </c>
      <c r="M67" s="56" t="inlineStr">
        <is>
          <t>Sistema omite esa hoja/archivo puntual y continúa procesando el resto sin bloquear la carga</t>
        </is>
      </c>
    </row>
    <row r="68" ht="60" customHeight="1">
      <c r="A68" s="70" t="n"/>
      <c r="B68" s="70" t="n"/>
      <c r="C68" s="70" t="n"/>
      <c r="D68" s="70" t="n"/>
      <c r="E68" s="70" t="n"/>
      <c r="F68" s="70" t="n"/>
      <c r="G68" s="70" t="n"/>
      <c r="H68" s="56" t="n">
        <v>2</v>
      </c>
      <c r="I68" s="56" t="inlineStr">
        <is>
          <t>Motivo reportado</t>
        </is>
      </c>
      <c r="J68" s="53">
        <f>CONCATENATE(A67,"-",H68)</f>
        <v/>
      </c>
      <c r="K68" s="56" t="inlineStr">
        <is>
          <t>Una o más hojas/archivos omitidos</t>
        </is>
      </c>
      <c r="L68" s="56" t="inlineStr">
        <is>
          <t>Termina de procesar</t>
        </is>
      </c>
      <c r="M68" s="56" t="inlineStr">
        <is>
          <t>Sistema reporta cada omisión con su motivo (ej. "solo 3 alumno(s) detectado(s), mínimo 5")</t>
        </is>
      </c>
    </row>
    <row r="69" ht="90" customHeight="1">
      <c r="A69" s="53" t="inlineStr">
        <is>
          <t>HU0030</t>
        </is>
      </c>
      <c r="B69" s="53" t="inlineStr">
        <is>
          <t>Administrador del Sistema</t>
        </is>
      </c>
      <c r="C69" s="54" t="inlineStr">
        <is>
          <t>Necesito:</t>
        </is>
      </c>
      <c r="D69" s="53" t="inlineStr">
        <is>
          <t>cargar los Excel de notas y conducta de mi colegio para actualizar el modelo</t>
        </is>
      </c>
      <c r="E69" s="54" t="inlineStr">
        <is>
          <t>Con la finalidad de:</t>
        </is>
      </c>
      <c r="F69" s="53" t="inlineStr">
        <is>
          <t>mantener las predicciones de riesgo al día con la información real del colegio</t>
        </is>
      </c>
      <c r="G69" s="53">
        <f>CONCATENATE("Como  ",B69," quiero ", D69," para ",F69)</f>
        <v/>
      </c>
      <c r="H69" s="56" t="n">
        <v>1</v>
      </c>
      <c r="I69" s="56" t="inlineStr">
        <is>
          <t>Carga exitosa</t>
        </is>
      </c>
      <c r="J69" s="53">
        <f>CONCATENATE(A69,"-",H69)</f>
        <v/>
      </c>
      <c r="K69" s="56" t="inlineStr">
        <is>
          <t>Uno o más archivos .xlsx/.xls con "Notas" o "Conducta" en el nombre; el campo «Nombre del colegio» es obligatorio la primera vez (el Reporte consolidado no trae el nombre del colegio dentro del archivo)</t>
        </is>
      </c>
      <c r="L69" s="56" t="inlineStr">
        <is>
          <t>Los selecciona y sube</t>
        </is>
      </c>
      <c r="M69" s="56" t="inlineStr">
        <is>
          <t>Sistema los procesa, reentrena el modelo y muestra alumnos procesados, en riesgo y % de riesgo, y el nombre con el que quedó el colegio (el escrito en «Nombre del colegio»; si se deja vacío, el del encabezado del Excel o el que el colegio ya tenía registrado)</t>
        </is>
      </c>
    </row>
    <row r="70" ht="75.5" customHeight="1">
      <c r="A70" s="70" t="n"/>
      <c r="B70" s="70" t="n"/>
      <c r="C70" s="70" t="n"/>
      <c r="D70" s="70" t="n"/>
      <c r="E70" s="70" t="n"/>
      <c r="F70" s="70" t="n"/>
      <c r="G70" s="70" t="n"/>
      <c r="H70" s="56" t="n">
        <v>2</v>
      </c>
      <c r="I70" s="56" t="inlineStr">
        <is>
          <t>Archivo inválido</t>
        </is>
      </c>
      <c r="J70" s="53">
        <f>CONCATENATE(A69,"-",H70)</f>
        <v/>
      </c>
      <c r="K70" s="56" t="inlineStr">
        <is>
          <t>Un archivo que no es .xlsx/.xls, o que supera 20MB</t>
        </is>
      </c>
      <c r="L70" s="56" t="inlineStr">
        <is>
          <t>Intenta subirlo</t>
        </is>
      </c>
      <c r="M70" s="56" t="inlineStr">
        <is>
          <t>Sistema rechaza ese archivo puntual indicando el motivo ('Formato no soportado: solo .xlsx o .xls' / 'Archivo supera el límite de 20MB') y procesa el resto de los archivos sin bloquear la carga</t>
        </is>
      </c>
    </row>
    <row r="71" ht="60" customHeight="1">
      <c r="A71" s="53" t="inlineStr">
        <is>
          <t>HU0031</t>
        </is>
      </c>
      <c r="B71" s="53" t="inlineStr">
        <is>
          <t>Administrador del Sistema</t>
        </is>
      </c>
      <c r="C71" s="54" t="inlineStr">
        <is>
          <t>Necesito:</t>
        </is>
      </c>
      <c r="D71" s="53" t="inlineStr">
        <is>
          <t>ver qué hojas o archivos se excluyeron al cargar los datos de mi colegio, y por qué</t>
        </is>
      </c>
      <c r="E71" s="54" t="inlineStr">
        <is>
          <t>Con la finalidad de:</t>
        </is>
      </c>
      <c r="F71" s="53" t="inlineStr">
        <is>
          <t>detectar y corregir el archivo problemático sin tener que adivinar qué falló</t>
        </is>
      </c>
      <c r="G71" s="53">
        <f>CONCATENATE("Como  ",B71," quiero ", D71," para ",F71)</f>
        <v/>
      </c>
      <c r="H71" s="56" t="n">
        <v>1</v>
      </c>
      <c r="I71" s="56" t="inlineStr">
        <is>
          <t>Advertencias visibles</t>
        </is>
      </c>
      <c r="J71" s="53">
        <f>CONCATENATE(A71,"-",H71)</f>
        <v/>
      </c>
      <c r="K71" s="56" t="inlineStr">
        <is>
          <t>La última carga omitió una o más hojas/archivos</t>
        </is>
      </c>
      <c r="L71" s="56" t="inlineStr">
        <is>
          <t>Revisa el panel de datos del colegio</t>
        </is>
      </c>
      <c r="M71" s="56" t="inlineStr">
        <is>
          <t>Sistema muestra la lista de hojas/archivos omitidos, con el motivo de cada uno</t>
        </is>
      </c>
    </row>
    <row r="72" ht="45" customHeight="1">
      <c r="A72" s="70" t="n"/>
      <c r="B72" s="70" t="n"/>
      <c r="C72" s="70" t="n"/>
      <c r="D72" s="70" t="n"/>
      <c r="E72" s="70" t="n"/>
      <c r="F72" s="70" t="n"/>
      <c r="G72" s="70" t="n"/>
      <c r="H72" s="56" t="n">
        <v>2</v>
      </c>
      <c r="I72" s="56" t="inlineStr">
        <is>
          <t>Sin advertencias</t>
        </is>
      </c>
      <c r="J72" s="53">
        <f>CONCATENATE(A71,"-",H72)</f>
        <v/>
      </c>
      <c r="K72" s="56" t="inlineStr">
        <is>
          <t>La carga se procesó sin omitir nada</t>
        </is>
      </c>
      <c r="L72" s="56" t="inlineStr">
        <is>
          <t>Revisa el panel de datos del colegio</t>
        </is>
      </c>
      <c r="M72" s="56" t="inlineStr">
        <is>
          <t>Sistema no muestra ningún bloque de advertencias (la ausencia de avisos es la confirmación implícita de que todo se procesó sin errores)</t>
        </is>
      </c>
    </row>
    <row r="73" ht="90" customHeight="1">
      <c r="A73" s="53" t="inlineStr">
        <is>
          <t>HU0032</t>
        </is>
      </c>
      <c r="B73" s="53" t="inlineStr">
        <is>
          <t>Administrador del Sistema</t>
        </is>
      </c>
      <c r="C73" s="54" t="inlineStr">
        <is>
          <t>Necesito:</t>
        </is>
      </c>
      <c r="D73" s="53" t="inlineStr">
        <is>
          <t>que subir el Excel del colegio reentrene el modelo automáticamente, sin un paso manual aparte</t>
        </is>
      </c>
      <c r="E73" s="54" t="inlineStr">
        <is>
          <t>Con la finalidad de:</t>
        </is>
      </c>
      <c r="F73" s="53" t="inlineStr">
        <is>
          <t>no depender de un botón de "entrenar" separado que alguien pueda olvidar presionar</t>
        </is>
      </c>
      <c r="G73" s="53">
        <f>CONCATENATE("Como  ",B73," quiero ", D73," para ",F73)</f>
        <v/>
      </c>
      <c r="H73" s="56" t="n">
        <v>1</v>
      </c>
      <c r="I73" s="56" t="inlineStr">
        <is>
          <t>Entrenamiento automático al cargar datos</t>
        </is>
      </c>
      <c r="J73" s="53">
        <f>CONCATENATE(A73,"-",H73)</f>
        <v/>
      </c>
      <c r="K73" s="56" t="inlineStr">
        <is>
          <t>Archivos de notas/conducta válidos</t>
        </is>
      </c>
      <c r="L73" s="56" t="inlineStr">
        <is>
          <t>Sube el Excel (no hay una pantalla de "Re-entrenar" separada: el reentrenamiento es automático al cargar los datos)</t>
        </is>
      </c>
      <c r="M73" s="56" t="inlineStr">
        <is>
          <t>Sistema reentrena y registra la nueva versión en el histórico de reentrenamientos</t>
        </is>
      </c>
    </row>
    <row r="74" ht="45" customHeight="1">
      <c r="A74" s="70" t="n"/>
      <c r="B74" s="70" t="n"/>
      <c r="C74" s="70" t="n"/>
      <c r="D74" s="70" t="n"/>
      <c r="E74" s="70" t="n"/>
      <c r="F74" s="70" t="n"/>
      <c r="G74" s="70" t="n"/>
      <c r="H74" s="56" t="n">
        <v>2</v>
      </c>
      <c r="I74" s="56" t="inlineStr">
        <is>
          <t>Datos insuficientes</t>
        </is>
      </c>
      <c r="J74" s="53">
        <f>CONCATENATE(A73,"-",H74)</f>
        <v/>
      </c>
      <c r="K74" s="56" t="inlineStr">
        <is>
          <t>Pocos registros para entrenar</t>
        </is>
      </c>
      <c r="L74" s="56" t="inlineStr">
        <is>
          <t>Sube el Excel igual</t>
        </is>
      </c>
      <c r="M74" s="56" t="inlineStr">
        <is>
          <t>Sistema reentrena igual, pero cae a modo descriptivo (menos preciso) y lo advierte en el dashboard, en vez de bloquear el reentrenamiento</t>
        </is>
      </c>
    </row>
    <row r="75" ht="45" customHeight="1">
      <c r="A75" s="53" t="inlineStr">
        <is>
          <t>HU0033</t>
        </is>
      </c>
      <c r="B75" s="53" t="inlineStr">
        <is>
          <t>Administrador del Sistema</t>
        </is>
      </c>
      <c r="C75" s="54" t="inlineStr">
        <is>
          <t>Necesito:</t>
        </is>
      </c>
      <c r="D75" s="53" t="inlineStr">
        <is>
          <t>visualizar la importancia global de variables que aprende el modelo de ML</t>
        </is>
      </c>
      <c r="E75" s="54" t="inlineStr">
        <is>
          <t>Con la finalidad de:</t>
        </is>
      </c>
      <c r="F75" s="53" t="inlineStr">
        <is>
          <t>validar que el modelo identifica correctamente los predictores académicos</t>
        </is>
      </c>
      <c r="G75" s="53">
        <f>CONCATENATE("Como  ",B75," quiero ", D75," para ",F75)</f>
        <v/>
      </c>
      <c r="H75" s="56" t="n">
        <v>1</v>
      </c>
      <c r="I75" s="56" t="inlineStr">
        <is>
          <t>Importancia disponible</t>
        </is>
      </c>
      <c r="J75" s="53">
        <f>CONCATENATE(A75,"-",H75)</f>
        <v/>
      </c>
      <c r="K75" s="56" t="inlineStr">
        <is>
          <t>Modelo entrenado y activo</t>
        </is>
      </c>
      <c r="L75" s="56" t="inlineStr">
        <is>
          <t>Solicita la visualización</t>
        </is>
      </c>
      <c r="M75" s="56" t="inlineStr">
        <is>
          <t>Sistema muestra un ranking global de variables (Random Forest) con las que más pesan en las predicciones de ese colegio</t>
        </is>
      </c>
    </row>
    <row r="76" ht="46.5" customHeight="1">
      <c r="A76" s="70" t="n"/>
      <c r="B76" s="70" t="n"/>
      <c r="C76" s="70" t="n"/>
      <c r="D76" s="70" t="n"/>
      <c r="E76" s="70" t="n"/>
      <c r="F76" s="70" t="n"/>
      <c r="G76" s="70" t="n"/>
      <c r="H76" s="56" t="n">
        <v>2</v>
      </c>
      <c r="I76" s="56" t="inlineStr">
        <is>
          <t>Modelo no disponible</t>
        </is>
      </c>
      <c r="J76" s="53">
        <f>CONCATENATE(A75,"-",H76)</f>
        <v/>
      </c>
      <c r="K76" s="56" t="inlineStr">
        <is>
          <t>No hay modelo entrenado</t>
        </is>
      </c>
      <c r="L76" s="56" t="inlineStr">
        <is>
          <t>Solicita la visualización</t>
        </is>
      </c>
      <c r="M76" s="56" t="inlineStr">
        <is>
          <t>Sistema muestra el mensaje 'Sin modelo entrenado' en el panel de Datos, en lugar del ranking de variables</t>
        </is>
      </c>
    </row>
    <row r="77" ht="61" customHeight="1">
      <c r="A77" s="53" t="inlineStr">
        <is>
          <t>HU0034</t>
        </is>
      </c>
      <c r="B77" s="53" t="inlineStr">
        <is>
          <t>Administrador del Sistema</t>
        </is>
      </c>
      <c r="C77" s="54" t="inlineStr">
        <is>
          <t>Necesito:</t>
        </is>
      </c>
      <c r="D77" s="53" t="inlineStr">
        <is>
          <t>gestionar y exponer la fecha de última actualización del modelo (visible para Admin y Coordinador Académico)</t>
        </is>
      </c>
      <c r="E77" s="54" t="inlineStr">
        <is>
          <t>Con la finalidad de:</t>
        </is>
      </c>
      <c r="F77" s="53" t="inlineStr">
        <is>
          <t>que ambos roles puedan asegurar que se trabaja con información vigente</t>
        </is>
      </c>
      <c r="G77" s="53">
        <f>CONCATENATE("Como  ",B77," quiero ", D77," para ",F77)</f>
        <v/>
      </c>
      <c r="H77" s="56" t="n">
        <v>1</v>
      </c>
      <c r="I77" s="56" t="inlineStr">
        <is>
          <t>Fecha visible</t>
        </is>
      </c>
      <c r="J77" s="53">
        <f>CONCATENATE(A77,"-",H77)</f>
        <v/>
      </c>
      <c r="K77" s="56" t="inlineStr">
        <is>
          <t>Modelo actualizado</t>
        </is>
      </c>
      <c r="L77" s="56" t="inlineStr">
        <is>
          <t>Consulta la información del modelo</t>
        </is>
      </c>
      <c r="M77" s="56" t="inlineStr">
        <is>
          <t>Sistema muestra la fecha junto a «Entrenado:» en la pestaña Datos (Admin y Coordinador) y como «actualizado:» en el encabezado del dashboard del colegio</t>
        </is>
      </c>
    </row>
    <row r="78" ht="45" customHeight="1">
      <c r="A78" s="70" t="n"/>
      <c r="B78" s="70" t="n"/>
      <c r="C78" s="70" t="n"/>
      <c r="D78" s="70" t="n"/>
      <c r="E78" s="70" t="n"/>
      <c r="F78" s="70" t="n"/>
      <c r="G78" s="70" t="n"/>
      <c r="H78" s="56" t="n">
        <v>2</v>
      </c>
      <c r="I78" s="56" t="inlineStr">
        <is>
          <t>Fecha no disponible</t>
        </is>
      </c>
      <c r="J78" s="53">
        <f>CONCATENATE(A77,"-",H78)</f>
        <v/>
      </c>
      <c r="K78" s="56" t="inlineStr">
        <is>
          <t>Modelo entrenado por una versión anterior que no registró fecha, o el campo de fecha llega nulo/vacío</t>
        </is>
      </c>
      <c r="L78" s="56" t="inlineStr">
        <is>
          <t>Consulta la información del modelo</t>
        </is>
      </c>
      <c r="M78" s="56" t="inlineStr">
        <is>
          <t>Sistema muestra 'Fecha no disponible' en vez de una fecha inválida o vacía</t>
        </is>
      </c>
    </row>
    <row r="79" ht="25.5" customHeight="1">
      <c r="A79" s="53" t="inlineStr">
        <is>
          <t>HU0035</t>
        </is>
      </c>
      <c r="B79" s="53" t="inlineStr">
        <is>
          <t>Administrador del Sistema</t>
        </is>
      </c>
      <c r="C79" s="54" t="inlineStr">
        <is>
          <t>Necesito:</t>
        </is>
      </c>
      <c r="D79" s="53" t="inlineStr">
        <is>
          <t>que el sistema respalde el modelo anterior antes de cada reentrenamiento, y poder restaurarlo</t>
        </is>
      </c>
      <c r="E79" s="54" t="inlineStr">
        <is>
          <t>Con la finalidad de:</t>
        </is>
      </c>
      <c r="F79" s="53" t="inlineStr">
        <is>
          <t>no perder un modelo bueno si un Excel con datos malos lo arruina</t>
        </is>
      </c>
      <c r="G79" s="53">
        <f>CONCATENATE("Como  ",B79," quiero ", D79," para ",F79)</f>
        <v/>
      </c>
      <c r="H79" s="56" t="n">
        <v>1</v>
      </c>
      <c r="I79" s="56" t="inlineStr">
        <is>
          <t>Respaldo automático</t>
        </is>
      </c>
      <c r="J79" s="53">
        <f>CONCATENATE(A79,"-",H79)</f>
        <v/>
      </c>
      <c r="K79" s="56" t="inlineStr">
        <is>
          <t>El colegio ya tenía un modelo entrenado</t>
        </is>
      </c>
      <c r="L79" s="56" t="inlineStr">
        <is>
          <t>Se sube un nuevo Excel y el sistema reentrena</t>
        </is>
      </c>
      <c r="M79" s="56" t="inlineStr">
        <is>
          <t>Sistema guarda una copia con fecha del modelo anterior antes de sobrescribirlo</t>
        </is>
      </c>
    </row>
    <row r="80" ht="30" customHeight="1">
      <c r="A80" s="70" t="n"/>
      <c r="B80" s="70" t="n"/>
      <c r="C80" s="70" t="n"/>
      <c r="D80" s="70" t="n"/>
      <c r="E80" s="70" t="n"/>
      <c r="F80" s="70" t="n"/>
      <c r="G80" s="70" t="n"/>
      <c r="H80" s="53" t="n">
        <v>2</v>
      </c>
      <c r="I80" s="53" t="inlineStr">
        <is>
          <t>Restauración exitosa</t>
        </is>
      </c>
      <c r="J80" s="53">
        <f>CONCATENATE(A79,"-",H80)</f>
        <v/>
      </c>
      <c r="K80" s="53" t="inlineStr">
        <is>
          <t>Hay al menos un respaldo disponible para el colegio</t>
        </is>
      </c>
      <c r="L80" s="53" t="inlineStr">
        <is>
          <t>Selecciona "Restaurar modelo anterior" en Datos</t>
        </is>
      </c>
      <c r="M80" s="53" t="inlineStr">
        <is>
          <t>Sistema revierte el modelo al respaldo más reciente y confirma la fecha restaurada</t>
        </is>
      </c>
    </row>
  </sheetData>
  <mergeCells count="250">
    <mergeCell ref="F44:F45"/>
    <mergeCell ref="C14:C17"/>
    <mergeCell ref="C30:C31"/>
    <mergeCell ref="E14:E17"/>
    <mergeCell ref="C79:C80"/>
    <mergeCell ref="G54:G56"/>
    <mergeCell ref="E79:E80"/>
    <mergeCell ref="B12:B13"/>
    <mergeCell ref="E48:E49"/>
    <mergeCell ref="E73:E74"/>
    <mergeCell ref="G48:G49"/>
    <mergeCell ref="B52:B53"/>
    <mergeCell ref="D52:D53"/>
    <mergeCell ref="B61:B62"/>
    <mergeCell ref="B3:B6"/>
    <mergeCell ref="F59:F60"/>
    <mergeCell ref="D61:D62"/>
    <mergeCell ref="D25:D27"/>
    <mergeCell ref="C63:C64"/>
    <mergeCell ref="C10:C11"/>
    <mergeCell ref="E63:E64"/>
    <mergeCell ref="B42:B43"/>
    <mergeCell ref="E10:E11"/>
    <mergeCell ref="D36:D37"/>
    <mergeCell ref="G10:G11"/>
    <mergeCell ref="F18:F19"/>
    <mergeCell ref="F30:F31"/>
    <mergeCell ref="A71:A72"/>
    <mergeCell ref="C7:C9"/>
    <mergeCell ref="F79:F80"/>
    <mergeCell ref="C71:C72"/>
    <mergeCell ref="E7:E9"/>
    <mergeCell ref="F3:F6"/>
    <mergeCell ref="E65:E66"/>
    <mergeCell ref="D32:D33"/>
    <mergeCell ref="G65:G66"/>
    <mergeCell ref="F42:F43"/>
    <mergeCell ref="B7:B9"/>
    <mergeCell ref="B28:B29"/>
    <mergeCell ref="G18:G19"/>
    <mergeCell ref="B22:B24"/>
    <mergeCell ref="D22:D24"/>
    <mergeCell ref="D71:D72"/>
    <mergeCell ref="F71:F72"/>
    <mergeCell ref="C57:C58"/>
    <mergeCell ref="D18:D19"/>
    <mergeCell ref="F28:F29"/>
    <mergeCell ref="A20:A21"/>
    <mergeCell ref="A77:A78"/>
    <mergeCell ref="D73:D74"/>
    <mergeCell ref="F73:F74"/>
    <mergeCell ref="E50:E51"/>
    <mergeCell ref="B40:B41"/>
    <mergeCell ref="G50:G51"/>
    <mergeCell ref="G44:G45"/>
    <mergeCell ref="B63:B64"/>
    <mergeCell ref="F48:F49"/>
    <mergeCell ref="D63:D64"/>
    <mergeCell ref="D10:D11"/>
    <mergeCell ref="F57:F58"/>
    <mergeCell ref="C69:C70"/>
    <mergeCell ref="C25:C27"/>
    <mergeCell ref="E12:E13"/>
    <mergeCell ref="D38:D39"/>
    <mergeCell ref="G12:G13"/>
    <mergeCell ref="C3:C6"/>
    <mergeCell ref="A59:A60"/>
    <mergeCell ref="D7:D9"/>
    <mergeCell ref="E3:E6"/>
    <mergeCell ref="D34:D35"/>
    <mergeCell ref="F63:F64"/>
    <mergeCell ref="F34:F35"/>
    <mergeCell ref="C22:C24"/>
    <mergeCell ref="G36:G37"/>
    <mergeCell ref="D40:D41"/>
    <mergeCell ref="F40:F41"/>
    <mergeCell ref="A79:A80"/>
    <mergeCell ref="A48:A49"/>
    <mergeCell ref="A61:A62"/>
    <mergeCell ref="F36:F37"/>
    <mergeCell ref="B77:B78"/>
    <mergeCell ref="D77:D78"/>
    <mergeCell ref="F20:F21"/>
    <mergeCell ref="B67:B68"/>
    <mergeCell ref="E22:E24"/>
    <mergeCell ref="A65:A66"/>
    <mergeCell ref="G22:G24"/>
    <mergeCell ref="C65:C66"/>
    <mergeCell ref="D75:D76"/>
    <mergeCell ref="E38:E39"/>
    <mergeCell ref="F75:F76"/>
    <mergeCell ref="B69:B70"/>
    <mergeCell ref="A46:A47"/>
    <mergeCell ref="B25:B27"/>
    <mergeCell ref="C46:C47"/>
    <mergeCell ref="D12:D13"/>
    <mergeCell ref="G73:G74"/>
    <mergeCell ref="E46:E47"/>
    <mergeCell ref="C40:C41"/>
    <mergeCell ref="E40:E41"/>
    <mergeCell ref="J1:M1"/>
    <mergeCell ref="B44:B45"/>
    <mergeCell ref="C54:C56"/>
    <mergeCell ref="A57:A58"/>
    <mergeCell ref="G63:G64"/>
    <mergeCell ref="F61:F62"/>
    <mergeCell ref="F25:F27"/>
    <mergeCell ref="F46:F47"/>
    <mergeCell ref="C32:C33"/>
    <mergeCell ref="A63:A64"/>
    <mergeCell ref="A54:A56"/>
    <mergeCell ref="A10:A11"/>
    <mergeCell ref="E57:E58"/>
    <mergeCell ref="B30:B31"/>
    <mergeCell ref="D14:D17"/>
    <mergeCell ref="B79:B80"/>
    <mergeCell ref="D30:D31"/>
    <mergeCell ref="F14:F17"/>
    <mergeCell ref="A7:A9"/>
    <mergeCell ref="D79:D80"/>
    <mergeCell ref="G75:G76"/>
    <mergeCell ref="B32:B33"/>
    <mergeCell ref="A52:A53"/>
    <mergeCell ref="C34:C35"/>
    <mergeCell ref="A25:A27"/>
    <mergeCell ref="A1:I1"/>
    <mergeCell ref="G77:G78"/>
    <mergeCell ref="C18:C19"/>
    <mergeCell ref="F10:F11"/>
    <mergeCell ref="E52:E53"/>
    <mergeCell ref="E67:E68"/>
    <mergeCell ref="G52:G53"/>
    <mergeCell ref="B71:B72"/>
    <mergeCell ref="G67:G68"/>
    <mergeCell ref="D65:D66"/>
    <mergeCell ref="G61:G62"/>
    <mergeCell ref="C73:C74"/>
    <mergeCell ref="F65:F66"/>
    <mergeCell ref="C42:C43"/>
    <mergeCell ref="B18:B19"/>
    <mergeCell ref="C20:C21"/>
    <mergeCell ref="E42:E43"/>
    <mergeCell ref="E20:E21"/>
    <mergeCell ref="G42:G43"/>
    <mergeCell ref="E69:E70"/>
    <mergeCell ref="A36:A37"/>
    <mergeCell ref="B73:B74"/>
    <mergeCell ref="G69:G70"/>
    <mergeCell ref="A50:A51"/>
    <mergeCell ref="C50:C51"/>
    <mergeCell ref="G38:G39"/>
    <mergeCell ref="A22:A24"/>
    <mergeCell ref="C44:C45"/>
    <mergeCell ref="C59:C60"/>
    <mergeCell ref="E44:E45"/>
    <mergeCell ref="E59:E60"/>
    <mergeCell ref="B57:B58"/>
    <mergeCell ref="D57:D58"/>
    <mergeCell ref="A12:A13"/>
    <mergeCell ref="G3:G6"/>
    <mergeCell ref="C12:C13"/>
    <mergeCell ref="E28:E29"/>
    <mergeCell ref="G28:G29"/>
    <mergeCell ref="A3:A6"/>
    <mergeCell ref="B34:B35"/>
    <mergeCell ref="F50:F51"/>
    <mergeCell ref="C36:C37"/>
    <mergeCell ref="D28:D29"/>
    <mergeCell ref="E30:E31"/>
    <mergeCell ref="G14:G17"/>
    <mergeCell ref="G30:G31"/>
    <mergeCell ref="H2:I2"/>
    <mergeCell ref="D59:D60"/>
    <mergeCell ref="G79:G80"/>
    <mergeCell ref="E32:E33"/>
    <mergeCell ref="F7:F9"/>
    <mergeCell ref="B36:B37"/>
    <mergeCell ref="F52:F53"/>
    <mergeCell ref="D3:D6"/>
    <mergeCell ref="A14:A17"/>
    <mergeCell ref="B20:B21"/>
    <mergeCell ref="D42:D43"/>
    <mergeCell ref="D20:D21"/>
    <mergeCell ref="B50:B51"/>
    <mergeCell ref="C48:C49"/>
    <mergeCell ref="E71:E72"/>
    <mergeCell ref="G7:G9"/>
    <mergeCell ref="A38:A39"/>
    <mergeCell ref="B75:B76"/>
    <mergeCell ref="G71:G72"/>
    <mergeCell ref="C38:C39"/>
    <mergeCell ref="E18:E19"/>
    <mergeCell ref="C77:C78"/>
    <mergeCell ref="A40:A41"/>
    <mergeCell ref="A67:A68"/>
    <mergeCell ref="F22:F24"/>
    <mergeCell ref="G57:G58"/>
    <mergeCell ref="F12:F13"/>
    <mergeCell ref="A69:A70"/>
    <mergeCell ref="B46:B47"/>
    <mergeCell ref="E54:E56"/>
    <mergeCell ref="D46:D47"/>
    <mergeCell ref="E34:E35"/>
    <mergeCell ref="B38:B39"/>
    <mergeCell ref="G34:G35"/>
    <mergeCell ref="B54:B56"/>
    <mergeCell ref="F32:F33"/>
    <mergeCell ref="A75:A76"/>
    <mergeCell ref="B14:B17"/>
    <mergeCell ref="D54:D56"/>
    <mergeCell ref="C75:C76"/>
    <mergeCell ref="B48:B49"/>
    <mergeCell ref="E25:E27"/>
    <mergeCell ref="D48:D49"/>
    <mergeCell ref="G25:G27"/>
    <mergeCell ref="E77:E78"/>
    <mergeCell ref="B10:B11"/>
    <mergeCell ref="A18:A19"/>
    <mergeCell ref="G20:G21"/>
    <mergeCell ref="C52:C53"/>
    <mergeCell ref="C67:C68"/>
    <mergeCell ref="A32:A33"/>
    <mergeCell ref="C61:C62"/>
    <mergeCell ref="B65:B66"/>
    <mergeCell ref="C2:D2"/>
    <mergeCell ref="E61:E62"/>
    <mergeCell ref="E2:F2"/>
    <mergeCell ref="E75:E76"/>
    <mergeCell ref="A42:A43"/>
    <mergeCell ref="F38:F39"/>
    <mergeCell ref="F54:F56"/>
    <mergeCell ref="E36:E37"/>
    <mergeCell ref="D50:D51"/>
    <mergeCell ref="F77:F78"/>
    <mergeCell ref="G59:G60"/>
    <mergeCell ref="G32:G33"/>
    <mergeCell ref="D67:D68"/>
    <mergeCell ref="A44:A45"/>
    <mergeCell ref="F67:F68"/>
    <mergeCell ref="A34:A35"/>
    <mergeCell ref="A28:A29"/>
    <mergeCell ref="C28:C29"/>
    <mergeCell ref="D69:D70"/>
    <mergeCell ref="A73:A74"/>
    <mergeCell ref="F69:F70"/>
    <mergeCell ref="G46:G47"/>
    <mergeCell ref="G40:G41"/>
    <mergeCell ref="B59:B60"/>
    <mergeCell ref="D44:D45"/>
    <mergeCell ref="A30:A31"/>
  </mergeCell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B3:C17"/>
  <sheetViews>
    <sheetView workbookViewId="0">
      <selection activeCell="F4" sqref="F4"/>
    </sheetView>
  </sheetViews>
  <sheetFormatPr baseColWidth="10" defaultColWidth="11.42578125" defaultRowHeight="15"/>
  <cols>
    <col width="32.42578125" customWidth="1" min="2" max="2"/>
    <col width="37.140625" customWidth="1" min="3" max="3"/>
  </cols>
  <sheetData>
    <row r="3">
      <c r="B3" s="15" t="inlineStr">
        <is>
          <t>Columna</t>
        </is>
      </c>
      <c r="C3" s="15" t="inlineStr">
        <is>
          <t>Instrucciones</t>
        </is>
      </c>
    </row>
    <row r="4" ht="51" customHeight="1">
      <c r="B4" s="59" t="inlineStr">
        <is>
          <t>Identificador (ID) de la historia</t>
        </is>
      </c>
      <c r="C4" s="59" t="inlineStr">
        <is>
          <t>Código que identifica unívocamente a la historia en el Proyecto que se esté desarrollando. El formato debe ser elegido por el equipo.</t>
        </is>
      </c>
    </row>
    <row r="5" ht="114.75" customHeight="1">
      <c r="B5" s="59" t="inlineStr">
        <is>
          <t>Rol</t>
        </is>
      </c>
      <c r="C5" s="59"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69" t="n"/>
      <c r="C6" s="17" t="inlineStr">
        <is>
          <t>Yo como cliente registrado.</t>
        </is>
      </c>
    </row>
    <row r="7" ht="25.5" customHeight="1">
      <c r="B7" s="69" t="n"/>
      <c r="C7" s="17" t="inlineStr">
        <is>
          <t>Desempeñando el rol de cliente registrado.</t>
        </is>
      </c>
    </row>
    <row r="8">
      <c r="B8" s="70" t="n"/>
      <c r="C8" s="17" t="inlineStr">
        <is>
          <t>Como un cliente registrado.</t>
        </is>
      </c>
    </row>
    <row r="9" ht="76.5" customHeight="1">
      <c r="B9" s="59" t="inlineStr">
        <is>
          <t>Característica / Funcionalidad</t>
        </is>
      </c>
      <c r="C9" s="59"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69" t="n"/>
      <c r="C10" s="17" t="inlineStr">
        <is>
          <t>Necesito realizar búsquedas de productos por categorías.</t>
        </is>
      </c>
    </row>
    <row r="11" ht="38.25" customHeight="1">
      <c r="B11" s="70" t="n"/>
      <c r="C11" s="17" t="inlineStr">
        <is>
          <t>Puedo seleccionar una categoría para ver el número de productos que tiene asociado.</t>
        </is>
      </c>
    </row>
    <row r="12" ht="89.25" customHeight="1">
      <c r="B12" s="59" t="inlineStr">
        <is>
          <t>Razón / Resultado</t>
        </is>
      </c>
      <c r="C12" s="59"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59" t="inlineStr">
        <is>
          <t>Número (#) de Escenario</t>
        </is>
      </c>
      <c r="C13" s="59" t="inlineStr">
        <is>
          <t>Número (ejemplo 1, 2, 3 ó 4), que identifica al escenario asociado a la historia.</t>
        </is>
      </c>
    </row>
    <row r="14" ht="76.5" customHeight="1">
      <c r="B14" s="59" t="inlineStr">
        <is>
          <t>Criterio de Aceptación (Título)</t>
        </is>
      </c>
      <c r="C14" s="59" t="inlineStr">
        <is>
          <t>Describe el contexto del escenario que define un comportamiento. Por ejemplo, si se toma el ejemplo de búsquedas de productos por categoría, un posible ejemplo pudiera ser: Categoría sin productos asociados.</t>
        </is>
      </c>
    </row>
    <row r="15" ht="38.25" customHeight="1">
      <c r="B15" s="59" t="inlineStr">
        <is>
          <t>Contexto</t>
        </is>
      </c>
      <c r="C15" s="59" t="inlineStr">
        <is>
          <t>Proporciona mayor descripción sobre las condiciones que desencadenan el escenario.</t>
        </is>
      </c>
    </row>
    <row r="16" ht="38.25" customHeight="1">
      <c r="B16" s="59" t="inlineStr">
        <is>
          <t>Evento</t>
        </is>
      </c>
      <c r="C16" s="59" t="inlineStr">
        <is>
          <t>Representa la acción que el usuario ejecuta, en el contexto definido para el escenario.</t>
        </is>
      </c>
    </row>
    <row r="17" ht="51" customHeight="1">
      <c r="B17" s="59" t="inlineStr">
        <is>
          <t>Resultado / Comportamiento esperado</t>
        </is>
      </c>
      <c r="C17" s="59" t="inlineStr">
        <is>
          <t>Dado el contexto y la acción ejecutada por el usuario, la consecuencia es el comportamiento del sistema en esa situación.</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W530"/>
  <sheetViews>
    <sheetView zoomScale="55" zoomScaleNormal="55" workbookViewId="0">
      <selection activeCell="F6" sqref="F6"/>
    </sheetView>
  </sheetViews>
  <sheetFormatPr baseColWidth="10" defaultColWidth="11.42578125" defaultRowHeight="15"/>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75" t="inlineStr">
        <is>
          <t>Enunciado de la Historia</t>
        </is>
      </c>
      <c r="C2" s="76" t="n"/>
      <c r="D2" s="76" t="n"/>
      <c r="E2" s="76" t="n"/>
      <c r="F2" s="76" t="n"/>
      <c r="G2" s="76" t="n"/>
      <c r="H2" s="76" t="n"/>
      <c r="I2" s="76" t="n"/>
      <c r="J2" s="77" t="n"/>
      <c r="K2" s="18" t="inlineStr">
        <is>
          <t>Criterios de Aceptación</t>
        </is>
      </c>
      <c r="L2" s="73" t="n"/>
      <c r="M2" s="73" t="n"/>
      <c r="N2" s="74" t="n"/>
      <c r="O2" s="13" t="n"/>
      <c r="P2" s="13" t="n"/>
      <c r="Q2" s="13" t="n"/>
      <c r="R2" s="13" t="n"/>
      <c r="S2" s="13" t="n"/>
      <c r="T2" s="13" t="n"/>
      <c r="U2" s="13" t="n"/>
      <c r="V2" s="13" t="n"/>
      <c r="W2" s="13" t="n"/>
    </row>
    <row r="3" ht="51" customHeight="1">
      <c r="B3" s="15" t="inlineStr">
        <is>
          <t>Identificador (ID) de la Historia</t>
        </is>
      </c>
      <c r="C3" s="15" t="inlineStr">
        <is>
          <t>Rol</t>
        </is>
      </c>
      <c r="D3" s="15" t="inlineStr">
        <is>
          <t>Característica / Funcionalidad</t>
        </is>
      </c>
      <c r="E3" s="74" t="n"/>
      <c r="F3" s="15" t="inlineStr">
        <is>
          <t>Razón / Resultado</t>
        </is>
      </c>
      <c r="G3" s="74" t="n"/>
      <c r="H3" s="15" t="inlineStr">
        <is>
          <t>REDACCION</t>
        </is>
      </c>
      <c r="I3" s="15" t="inlineStr">
        <is>
          <t>Número (#) de Escenario</t>
        </is>
      </c>
      <c r="J3" s="74" t="n"/>
      <c r="K3" s="18" t="inlineStr">
        <is>
          <t>Criterio de Aceptación</t>
        </is>
      </c>
      <c r="L3" s="18" t="inlineStr">
        <is>
          <t>Contexto</t>
        </is>
      </c>
      <c r="M3" s="18" t="inlineStr">
        <is>
          <t>Evento</t>
        </is>
      </c>
      <c r="N3" s="18" t="inlineStr">
        <is>
          <t>Resultado / Comportamiento esperado</t>
        </is>
      </c>
      <c r="O3" s="13" t="n"/>
      <c r="P3" s="13" t="n"/>
      <c r="Q3" s="13" t="n"/>
      <c r="R3" s="13" t="n"/>
      <c r="S3" s="13" t="n"/>
      <c r="T3" s="13" t="n"/>
      <c r="U3" s="13" t="n"/>
      <c r="V3" s="13" t="n"/>
      <c r="W3" s="13" t="n"/>
    </row>
    <row r="4" ht="63.75" customHeight="1">
      <c r="B4" s="19" t="inlineStr">
        <is>
          <t>HU0001</t>
        </is>
      </c>
      <c r="C4" s="19" t="inlineStr">
        <is>
          <t>Administrador</t>
        </is>
      </c>
      <c r="D4" s="20" t="inlineStr">
        <is>
          <t>Necesito:</t>
        </is>
      </c>
      <c r="E4" s="35" t="inlineStr">
        <is>
          <t>crear nuevos usuarios en el sistema</t>
        </is>
      </c>
      <c r="F4" s="20" t="inlineStr">
        <is>
          <t>Con la finalidad de:</t>
        </is>
      </c>
      <c r="G4" s="35" t="inlineStr">
        <is>
          <t xml:space="preserve"> asignarlos a proyectos y permitirles registrar incidencias</t>
        </is>
      </c>
      <c r="H4" s="21">
        <f>CONCATENATE("Como  ",C4," quiero ", E4," para ",G4)</f>
        <v/>
      </c>
      <c r="I4" s="21" t="n">
        <v>1</v>
      </c>
      <c r="J4" s="35" t="inlineStr">
        <is>
          <t>Creación exitosa de usuario</t>
        </is>
      </c>
      <c r="K4" s="35">
        <f>CONCATENATE(B4,"-",I4)</f>
        <v/>
      </c>
      <c r="L4" s="35" t="inlineStr">
        <is>
          <t>El administrador se encuentra en el módulo de gestión de usuarios.</t>
        </is>
      </c>
      <c r="M4" s="35" t="inlineStr">
        <is>
          <t>Ingresa los datos obligatorios (nombre, correo, rol) y confirma el registro.</t>
        </is>
      </c>
      <c r="N4" s="35" t="inlineStr">
        <is>
          <t>El sistema crea el usuario correctamente y muestra un mensaje de confirmación.</t>
        </is>
      </c>
      <c r="O4" s="13" t="n"/>
      <c r="P4" s="13" t="n"/>
      <c r="Q4" s="13" t="n"/>
      <c r="R4" s="13" t="n"/>
      <c r="S4" s="13" t="n"/>
      <c r="T4" s="13" t="n"/>
      <c r="U4" s="13" t="n"/>
      <c r="V4" s="13" t="n"/>
      <c r="W4" s="13" t="n"/>
    </row>
    <row r="5" ht="51" customHeight="1">
      <c r="B5" s="19" t="inlineStr">
        <is>
          <t>HU0001</t>
        </is>
      </c>
      <c r="C5" s="19" t="n"/>
      <c r="D5" s="20" t="inlineStr">
        <is>
          <t>Necesito:</t>
        </is>
      </c>
      <c r="E5" s="35" t="n"/>
      <c r="F5" s="20" t="inlineStr">
        <is>
          <t>Con la finalidad de:</t>
        </is>
      </c>
      <c r="G5" s="35" t="n"/>
      <c r="H5" s="21">
        <f>CONCATENATE("Como  ",C5," quiero ", E5," para ",G5)</f>
        <v/>
      </c>
      <c r="I5" s="21" t="n">
        <v>2</v>
      </c>
      <c r="J5" s="35" t="inlineStr">
        <is>
          <t>Validación de correo duplicado</t>
        </is>
      </c>
      <c r="K5" s="35">
        <f>CONCATENATE(B5,"-",I5)</f>
        <v/>
      </c>
      <c r="L5" s="35" t="inlineStr">
        <is>
          <t>Ya existe un usuario registrado con el mismo correo electrónico.</t>
        </is>
      </c>
      <c r="M5" s="35" t="inlineStr">
        <is>
          <t>El administrador intenta registrar un nuevo usuario con ese mismo correo.</t>
        </is>
      </c>
      <c r="N5" s="35" t="inlineStr">
        <is>
          <t>El sistema bloquea el registro y muestra un mensaje indicando que el correo ya está en uso.</t>
        </is>
      </c>
      <c r="O5" s="13" t="n"/>
      <c r="P5" s="13" t="n"/>
      <c r="Q5" s="13" t="n"/>
      <c r="R5" s="13" t="n"/>
      <c r="S5" s="13" t="n"/>
      <c r="T5" s="13" t="n"/>
      <c r="U5" s="13" t="n"/>
      <c r="V5" s="13" t="n"/>
      <c r="W5" s="13" t="n"/>
    </row>
    <row r="6" ht="38.25" customHeight="1">
      <c r="B6" s="19" t="inlineStr">
        <is>
          <t>HU0001</t>
        </is>
      </c>
      <c r="C6" s="19" t="n"/>
      <c r="D6" s="20" t="inlineStr">
        <is>
          <t>Necesito:</t>
        </is>
      </c>
      <c r="E6" s="35" t="n"/>
      <c r="F6" s="20" t="inlineStr">
        <is>
          <t>Con la finalidad de:</t>
        </is>
      </c>
      <c r="G6" s="35" t="n"/>
      <c r="H6" s="21">
        <f>CONCATENATE("Como  ",C6," quiero ", E6," para ",G6)</f>
        <v/>
      </c>
      <c r="I6" s="21" t="n">
        <v>3</v>
      </c>
      <c r="J6" s="35" t="inlineStr">
        <is>
          <t>Asignación de usuario a proyecto</t>
        </is>
      </c>
      <c r="K6" s="35">
        <f>CONCATENATE(B6,"-",I6)</f>
        <v/>
      </c>
      <c r="L6" s="35" t="inlineStr">
        <is>
          <t>El usuario ha sido creado correctamente</t>
        </is>
      </c>
      <c r="M6" s="35" t="inlineStr">
        <is>
          <t>El administrador selecciona uno o más proyectos para asignar al usuario.</t>
        </is>
      </c>
      <c r="N6" s="35" t="inlineStr">
        <is>
          <t>El sistema guarda la asignación y el usuario queda vinculado a los proyectos seleccionados.</t>
        </is>
      </c>
      <c r="O6" s="13" t="n"/>
      <c r="P6" s="13" t="n"/>
      <c r="Q6" s="13" t="n"/>
      <c r="R6" s="13" t="n"/>
      <c r="S6" s="13" t="n"/>
      <c r="T6" s="13" t="n"/>
      <c r="U6" s="13" t="n"/>
      <c r="V6" s="13" t="n"/>
      <c r="W6" s="13" t="n"/>
    </row>
    <row r="7" ht="15.75" customHeight="1">
      <c r="B7" s="19" t="inlineStr">
        <is>
          <t>HU0001</t>
        </is>
      </c>
      <c r="C7" s="19" t="n"/>
      <c r="D7" s="20" t="inlineStr">
        <is>
          <t>Necesito:</t>
        </is>
      </c>
      <c r="E7" s="35" t="n"/>
      <c r="F7" s="20" t="inlineStr">
        <is>
          <t>Con la finalidad de:</t>
        </is>
      </c>
      <c r="G7" s="35" t="n"/>
      <c r="H7" s="21">
        <f>CONCATENATE("Como  ",C7," quiero ", E7," para ",G7)</f>
        <v/>
      </c>
      <c r="I7" s="21" t="n">
        <v>4</v>
      </c>
      <c r="J7" s="35" t="inlineStr">
        <is>
          <t>Acceso a registro de incidencias</t>
        </is>
      </c>
      <c r="K7" s="35">
        <f>CONCATENATE(B7,"-",I7)</f>
        <v/>
      </c>
      <c r="L7" s="35" t="inlineStr">
        <is>
          <t>El usuario ha sido creado y asignado a un proyecto.</t>
        </is>
      </c>
      <c r="M7" s="35" t="inlineStr">
        <is>
          <t>El usuario inicia sesión en el sistema.</t>
        </is>
      </c>
      <c r="N7" s="35" t="inlineStr">
        <is>
          <t>El usuario puede acceder al módulo de registro de incidencias según su rol.</t>
        </is>
      </c>
      <c r="O7" s="13" t="n"/>
      <c r="P7" s="13" t="n"/>
      <c r="Q7" s="13" t="n"/>
      <c r="R7" s="13" t="n"/>
      <c r="S7" s="13" t="n"/>
      <c r="T7" s="13" t="n"/>
      <c r="U7" s="13" t="n"/>
      <c r="V7" s="13" t="n"/>
      <c r="W7" s="13" t="n"/>
    </row>
    <row r="8" ht="120" customHeight="1">
      <c r="B8" s="19" t="inlineStr">
        <is>
          <t>HU0001</t>
        </is>
      </c>
      <c r="C8" s="19" t="n"/>
      <c r="D8" s="20" t="inlineStr">
        <is>
          <t>Necesito:</t>
        </is>
      </c>
      <c r="E8" s="35" t="n"/>
      <c r="F8" s="20" t="inlineStr">
        <is>
          <t>Con la finalidad de:</t>
        </is>
      </c>
      <c r="G8" s="35" t="n"/>
      <c r="H8" s="21">
        <f>CONCATENATE("Como  ",C8," quiero ", E8," para ",G8)</f>
        <v/>
      </c>
      <c r="I8" s="21" t="n">
        <v>5</v>
      </c>
      <c r="J8" s="35" t="inlineStr">
        <is>
          <t>Validación de campos obligatorios</t>
        </is>
      </c>
      <c r="K8" s="35">
        <f>CONCATENATE(B8,"-",I8)</f>
        <v/>
      </c>
      <c r="L8" s="35" t="inlineStr">
        <is>
          <t>El administrador no completa todos los campos requeridos.</t>
        </is>
      </c>
      <c r="M8" s="35" t="inlineStr">
        <is>
          <t>Intenta registrar el usuario con información incompleta.</t>
        </is>
      </c>
      <c r="N8" s="35" t="inlineStr">
        <is>
          <t>El sistema muestra mensajes de validación indicando los campos faltantes.</t>
        </is>
      </c>
      <c r="O8" s="13" t="n"/>
      <c r="P8" s="13" t="n"/>
      <c r="Q8" s="13" t="n"/>
      <c r="R8" s="13" t="n"/>
      <c r="S8" s="13" t="n"/>
      <c r="T8" s="13" t="n"/>
      <c r="U8" s="13" t="n"/>
      <c r="V8" s="13" t="n"/>
      <c r="W8" s="13" t="n"/>
    </row>
    <row r="9" ht="153" customHeight="1">
      <c r="B9" s="22" t="inlineStr">
        <is>
          <t>HU0002</t>
        </is>
      </c>
      <c r="C9" s="22" t="inlineStr">
        <is>
          <t>Usuario</t>
        </is>
      </c>
      <c r="D9" s="20" t="inlineStr">
        <is>
          <t>Necesito:</t>
        </is>
      </c>
      <c r="E9" s="22" t="inlineStr">
        <is>
          <t>registrar incidencias en el sistema</t>
        </is>
      </c>
      <c r="F9" s="20" t="inlineStr">
        <is>
          <t>Con la finalidad de:</t>
        </is>
      </c>
      <c r="G9" s="22" t="inlineStr">
        <is>
          <t>reportar problemas y hacer seguimiento a su solución</t>
        </is>
      </c>
      <c r="H9" s="21">
        <f>CONCATENATE("Como  ",C9," quiero ", E9," para ",G9)</f>
        <v/>
      </c>
      <c r="I9" s="21" t="n"/>
      <c r="J9" s="23" t="n">
        <v>1</v>
      </c>
      <c r="K9" s="35">
        <f>CONCATENATE(B9,"-",I9)</f>
        <v/>
      </c>
      <c r="L9" s="59" t="inlineStr">
        <is>
          <t>En caso que una categoría no tenga productos asociados.</t>
        </is>
      </c>
      <c r="M9" s="59" t="inlineStr">
        <is>
          <t>Cuando se despliegue el listado de categorías a seleccionar.</t>
        </is>
      </c>
      <c r="N9" s="59" t="inlineStr">
        <is>
          <t>A continuación del nombre de la categoría, se mostrará entre paréntesis el siguiente texto "Sin Productos asociados".</t>
        </is>
      </c>
      <c r="O9" s="13" t="n"/>
      <c r="P9" s="13" t="n"/>
      <c r="Q9" s="13" t="n"/>
      <c r="R9" s="13" t="n"/>
      <c r="S9" s="13" t="n"/>
      <c r="T9" s="13" t="n"/>
      <c r="U9" s="13" t="n"/>
      <c r="V9" s="13" t="n"/>
      <c r="W9" s="13" t="n"/>
    </row>
    <row r="10" ht="63.75" customHeight="1">
      <c r="B10" s="59" t="n"/>
      <c r="C10" s="59" t="n"/>
      <c r="D10" s="24" t="inlineStr">
        <is>
          <t>Necesito:</t>
        </is>
      </c>
      <c r="E10" s="59" t="n"/>
      <c r="F10" s="20" t="inlineStr">
        <is>
          <t>Con la finalidad de:</t>
        </is>
      </c>
      <c r="G10" s="59" t="n"/>
      <c r="H10" s="21">
        <f>CONCATENATE("Como  ",C10," quiero ", E10," para ",G10)</f>
        <v/>
      </c>
      <c r="I10" s="21" t="n"/>
      <c r="J10" s="23" t="n">
        <v>3</v>
      </c>
      <c r="K10" s="35">
        <f>CONCATENATE(B10,"-",I10)</f>
        <v/>
      </c>
      <c r="L10" s="59" t="inlineStr">
        <is>
          <t>N/A</t>
        </is>
      </c>
      <c r="M10" s="59" t="inlineStr">
        <is>
          <t>Cuando se despliegue el listado de categorías a seleccionar.</t>
        </is>
      </c>
      <c r="N10" s="59" t="inlineStr">
        <is>
          <t>El sistema mostrará las categorías en orden alfabetico.</t>
        </is>
      </c>
      <c r="O10" s="13" t="n"/>
      <c r="P10" s="13" t="n"/>
      <c r="Q10" s="13" t="n"/>
      <c r="R10" s="13" t="n"/>
      <c r="S10" s="13" t="n"/>
      <c r="T10" s="13" t="n"/>
      <c r="U10" s="13" t="n"/>
      <c r="V10" s="13" t="n"/>
      <c r="W10" s="13" t="n"/>
    </row>
    <row r="11" ht="30" customHeight="1">
      <c r="B11" s="59" t="n"/>
      <c r="C11" s="19" t="n"/>
      <c r="D11" s="24" t="inlineStr">
        <is>
          <t>Necesito:</t>
        </is>
      </c>
      <c r="E11" s="19" t="n"/>
      <c r="F11" s="20" t="inlineStr">
        <is>
          <t>Con la finalidad de:</t>
        </is>
      </c>
      <c r="G11" s="19" t="n"/>
      <c r="H11" s="21">
        <f>CONCATENATE("Como  ",C11," quiero ", E11," para ",G11)</f>
        <v/>
      </c>
      <c r="I11" s="21" t="n"/>
      <c r="J11" s="19" t="n"/>
      <c r="K11" s="19" t="n"/>
      <c r="L11" s="19" t="n"/>
      <c r="M11" s="19" t="n"/>
      <c r="N11" s="19" t="n"/>
      <c r="O11" s="13" t="n"/>
      <c r="P11" s="13" t="n"/>
      <c r="Q11" s="13" t="n"/>
      <c r="R11" s="13" t="n"/>
      <c r="S11" s="13" t="n"/>
      <c r="T11" s="13" t="n"/>
      <c r="U11" s="13" t="n"/>
      <c r="V11" s="13" t="n"/>
      <c r="W11" s="13" t="n"/>
    </row>
    <row r="12" ht="30" customHeight="1">
      <c r="B12" s="19" t="n"/>
      <c r="C12" s="19" t="n"/>
      <c r="D12" s="24" t="inlineStr">
        <is>
          <t>Necesito:</t>
        </is>
      </c>
      <c r="E12" s="19" t="n"/>
      <c r="F12" s="20" t="inlineStr">
        <is>
          <t>Con la finalidad de:</t>
        </is>
      </c>
      <c r="G12" s="19" t="n"/>
      <c r="H12" s="21">
        <f>CONCATENATE("Como  ",C12," quiero ", E12," para ",G12)</f>
        <v/>
      </c>
      <c r="I12" s="21" t="n"/>
      <c r="J12" s="19" t="n"/>
      <c r="K12" s="19" t="n"/>
      <c r="L12" s="19" t="n"/>
      <c r="M12" s="19" t="n"/>
      <c r="N12" s="19" t="n"/>
      <c r="O12" s="13" t="n"/>
      <c r="P12" s="13" t="n"/>
      <c r="Q12" s="13" t="n"/>
      <c r="R12" s="13" t="n"/>
      <c r="S12" s="13" t="n"/>
      <c r="T12" s="13" t="n"/>
      <c r="U12" s="13" t="n"/>
      <c r="V12" s="13" t="n"/>
      <c r="W12" s="13" t="n"/>
    </row>
    <row r="13" ht="30" customHeight="1">
      <c r="B13" s="19" t="n"/>
      <c r="C13" s="19" t="n"/>
      <c r="D13" s="24" t="inlineStr">
        <is>
          <t>Necesito:</t>
        </is>
      </c>
      <c r="E13" s="19" t="n"/>
      <c r="F13" s="20" t="inlineStr">
        <is>
          <t>Con la finalidad de:</t>
        </is>
      </c>
      <c r="G13" s="19" t="n"/>
      <c r="H13" s="21">
        <f>CONCATENATE("Como  ",C13," quiero ", E13," para ",G13)</f>
        <v/>
      </c>
      <c r="I13" s="21" t="n"/>
      <c r="J13" s="19" t="n"/>
      <c r="K13" s="19" t="n"/>
      <c r="L13" s="19" t="n"/>
      <c r="M13" s="19" t="n"/>
      <c r="N13" s="19" t="n"/>
      <c r="O13" s="13" t="n"/>
      <c r="P13" s="13" t="n"/>
      <c r="Q13" s="13" t="n"/>
      <c r="R13" s="13" t="n"/>
      <c r="S13" s="13" t="n"/>
      <c r="T13" s="13" t="n"/>
      <c r="U13" s="13" t="n"/>
      <c r="V13" s="13" t="n"/>
      <c r="W13" s="13" t="n"/>
    </row>
    <row r="14" ht="30" customHeight="1">
      <c r="B14" s="19" t="n"/>
      <c r="C14" s="19" t="n"/>
      <c r="D14" s="24" t="inlineStr">
        <is>
          <t>Necesito:</t>
        </is>
      </c>
      <c r="E14" s="19" t="n"/>
      <c r="F14" s="20" t="inlineStr">
        <is>
          <t>Con la finalidad de:</t>
        </is>
      </c>
      <c r="G14" s="19" t="n"/>
      <c r="H14" s="21">
        <f>CONCATENATE("Como  ",C14," quiero ", E14," para ",G14)</f>
        <v/>
      </c>
      <c r="I14" s="21" t="n"/>
      <c r="J14" s="19" t="n"/>
      <c r="K14" s="19" t="n"/>
      <c r="L14" s="19" t="n"/>
      <c r="M14" s="19" t="n"/>
      <c r="N14" s="19" t="n"/>
      <c r="O14" s="13" t="n"/>
      <c r="P14" s="13" t="n"/>
      <c r="Q14" s="13" t="n"/>
      <c r="R14" s="13" t="n"/>
      <c r="S14" s="13" t="n"/>
      <c r="T14" s="13" t="n"/>
      <c r="U14" s="13" t="n"/>
      <c r="V14" s="13" t="n"/>
      <c r="W14" s="13" t="n"/>
    </row>
    <row r="15" ht="30" customHeight="1">
      <c r="B15" s="19" t="n"/>
      <c r="C15" s="19" t="n"/>
      <c r="D15" s="24" t="inlineStr">
        <is>
          <t>Necesito:</t>
        </is>
      </c>
      <c r="E15" s="19" t="n"/>
      <c r="F15" s="20" t="inlineStr">
        <is>
          <t>Con la finalidad de:</t>
        </is>
      </c>
      <c r="G15" s="19" t="n"/>
      <c r="H15" s="21">
        <f>CONCATENATE("Como  ",C15," quiero ", E15," para ",G15)</f>
        <v/>
      </c>
      <c r="I15" s="21" t="n"/>
      <c r="J15" s="19" t="n"/>
      <c r="K15" s="19" t="n"/>
      <c r="L15" s="19" t="n"/>
      <c r="M15" s="19" t="n"/>
      <c r="N15" s="19" t="n"/>
      <c r="O15" s="13" t="n"/>
      <c r="P15" s="13" t="n"/>
      <c r="Q15" s="13" t="n"/>
      <c r="R15" s="13" t="n"/>
      <c r="S15" s="13" t="n"/>
      <c r="T15" s="13" t="n"/>
      <c r="U15" s="13" t="n"/>
      <c r="V15" s="13" t="n"/>
      <c r="W15" s="13" t="n"/>
    </row>
    <row r="16" ht="30" customHeight="1">
      <c r="B16" s="19" t="n"/>
      <c r="C16" s="19" t="n"/>
      <c r="D16" s="24" t="inlineStr">
        <is>
          <t>Necesito:</t>
        </is>
      </c>
      <c r="E16" s="19" t="n"/>
      <c r="F16" s="20" t="inlineStr">
        <is>
          <t>Con la finalidad de:</t>
        </is>
      </c>
      <c r="G16" s="19" t="n"/>
      <c r="H16" s="21">
        <f>CONCATENATE("Como  ",C16," quiero ", E16," para ",G16)</f>
        <v/>
      </c>
      <c r="I16" s="21" t="n"/>
      <c r="J16" s="19" t="n"/>
      <c r="K16" s="19" t="n"/>
      <c r="L16" s="19" t="n"/>
      <c r="M16" s="19" t="n"/>
      <c r="N16" s="19" t="n"/>
      <c r="O16" s="13" t="n"/>
      <c r="P16" s="13" t="n"/>
      <c r="Q16" s="13" t="n"/>
      <c r="R16" s="13" t="n"/>
      <c r="S16" s="13" t="n"/>
      <c r="T16" s="13" t="n"/>
      <c r="U16" s="13" t="n"/>
      <c r="V16" s="13" t="n"/>
      <c r="W16" s="13" t="n"/>
    </row>
    <row r="17" ht="30" customHeight="1">
      <c r="B17" s="19" t="n"/>
      <c r="C17" s="19" t="n"/>
      <c r="D17" s="24" t="inlineStr">
        <is>
          <t>Necesito:</t>
        </is>
      </c>
      <c r="E17" s="19" t="n"/>
      <c r="F17" s="20" t="inlineStr">
        <is>
          <t>Con la finalidad de:</t>
        </is>
      </c>
      <c r="G17" s="19" t="n"/>
      <c r="H17" s="21">
        <f>CONCATENATE("Como  ",C17," quiero ", E17," para ",G17)</f>
        <v/>
      </c>
      <c r="I17" s="21" t="n"/>
      <c r="J17" s="19" t="n"/>
      <c r="K17" s="19" t="n"/>
      <c r="L17" s="19" t="n"/>
      <c r="M17" s="19" t="n"/>
      <c r="N17" s="19" t="n"/>
      <c r="O17" s="13" t="n"/>
      <c r="P17" s="13" t="n"/>
      <c r="Q17" s="13" t="n"/>
      <c r="R17" s="13" t="n"/>
      <c r="S17" s="13" t="n"/>
      <c r="T17" s="13" t="n"/>
      <c r="U17" s="13" t="n"/>
      <c r="V17" s="13" t="n"/>
      <c r="W17" s="13" t="n"/>
    </row>
    <row r="18" ht="30" customHeight="1">
      <c r="B18" s="19" t="n"/>
      <c r="C18" s="19" t="n"/>
      <c r="D18" s="24" t="inlineStr">
        <is>
          <t>Necesito:</t>
        </is>
      </c>
      <c r="E18" s="19" t="n"/>
      <c r="F18" s="20" t="inlineStr">
        <is>
          <t>Con la finalidad de:</t>
        </is>
      </c>
      <c r="G18" s="19" t="n"/>
      <c r="H18" s="21">
        <f>CONCATENATE("Como  ",C18," quiero ", E18," para ",G18)</f>
        <v/>
      </c>
      <c r="I18" s="21" t="n"/>
      <c r="J18" s="19" t="n"/>
      <c r="K18" s="19" t="n"/>
      <c r="L18" s="19" t="n"/>
      <c r="M18" s="19" t="n"/>
      <c r="N18" s="19" t="n"/>
      <c r="O18" s="13" t="n"/>
      <c r="P18" s="13" t="n"/>
      <c r="Q18" s="13" t="n"/>
      <c r="R18" s="13" t="n"/>
      <c r="S18" s="13" t="n"/>
      <c r="T18" s="13" t="n"/>
      <c r="U18" s="13" t="n"/>
      <c r="V18" s="13" t="n"/>
      <c r="W18" s="13" t="n"/>
    </row>
    <row r="19" ht="30" customHeight="1">
      <c r="B19" s="19" t="n"/>
      <c r="C19" s="19" t="n"/>
      <c r="D19" s="24" t="inlineStr">
        <is>
          <t>Necesito:</t>
        </is>
      </c>
      <c r="E19" s="19" t="n"/>
      <c r="F19" s="24" t="inlineStr">
        <is>
          <t>Con la finalidad de:</t>
        </is>
      </c>
      <c r="G19" s="19" t="n"/>
      <c r="H19" s="21">
        <f>CONCATENATE("Como  ",C19," quiero ", E19," para ",G19)</f>
        <v/>
      </c>
      <c r="I19" s="21" t="n"/>
      <c r="J19" s="19" t="n"/>
      <c r="K19" s="19" t="n"/>
      <c r="L19" s="19" t="n"/>
      <c r="M19" s="19" t="n"/>
      <c r="N19" s="19" t="n"/>
      <c r="O19" s="13" t="n"/>
      <c r="P19" s="13" t="n"/>
      <c r="Q19" s="13" t="n"/>
      <c r="R19" s="13" t="n"/>
      <c r="S19" s="13" t="n"/>
      <c r="T19" s="13" t="n"/>
      <c r="U19" s="13" t="n"/>
      <c r="V19" s="13" t="n"/>
      <c r="W19" s="13" t="n"/>
    </row>
    <row r="20" ht="30" customHeight="1">
      <c r="B20" s="19" t="n"/>
      <c r="C20" s="19" t="n"/>
      <c r="D20" s="24" t="inlineStr">
        <is>
          <t>Necesito:</t>
        </is>
      </c>
      <c r="E20" s="19" t="n"/>
      <c r="F20" s="24" t="inlineStr">
        <is>
          <t>Con la finalidad de:</t>
        </is>
      </c>
      <c r="G20" s="19" t="n"/>
      <c r="H20" s="21">
        <f>CONCATENATE("Como  ",C20," quiero ", E20," para ",G20)</f>
        <v/>
      </c>
      <c r="I20" s="21" t="n"/>
      <c r="J20" s="19" t="n"/>
      <c r="K20" s="19" t="n"/>
      <c r="L20" s="19" t="n"/>
      <c r="M20" s="19" t="n"/>
      <c r="N20" s="19" t="n"/>
      <c r="O20" s="13" t="n"/>
      <c r="P20" s="13" t="n"/>
      <c r="Q20" s="13" t="n"/>
      <c r="R20" s="13" t="n"/>
      <c r="S20" s="13" t="n"/>
      <c r="T20" s="13" t="n"/>
      <c r="U20" s="13" t="n"/>
      <c r="V20" s="13" t="n"/>
      <c r="W20" s="13" t="n"/>
    </row>
    <row r="21" ht="30" customHeight="1">
      <c r="B21" s="19" t="n"/>
      <c r="C21" s="19" t="n"/>
      <c r="D21" s="24" t="inlineStr">
        <is>
          <t>Necesito:</t>
        </is>
      </c>
      <c r="E21" s="19" t="n"/>
      <c r="F21" s="24" t="inlineStr">
        <is>
          <t>Con la finalidad de:</t>
        </is>
      </c>
      <c r="G21" s="19" t="n"/>
      <c r="H21" s="21">
        <f>CONCATENATE("Como  ",C21," quiero ", E21," para ",G21)</f>
        <v/>
      </c>
      <c r="I21" s="21" t="n"/>
      <c r="J21" s="19" t="n"/>
      <c r="K21" s="19" t="n"/>
      <c r="L21" s="19" t="n"/>
      <c r="M21" s="19" t="n"/>
      <c r="N21" s="19" t="n"/>
      <c r="O21" s="13" t="n"/>
      <c r="P21" s="13" t="n"/>
      <c r="Q21" s="13" t="n"/>
      <c r="R21" s="13" t="n"/>
      <c r="S21" s="13" t="n"/>
      <c r="T21" s="13" t="n"/>
      <c r="U21" s="13" t="n"/>
      <c r="V21" s="13" t="n"/>
      <c r="W21" s="13" t="n"/>
    </row>
    <row r="22" ht="30" customHeight="1">
      <c r="B22" s="19" t="n"/>
      <c r="C22" s="19" t="n"/>
      <c r="D22" s="24" t="inlineStr">
        <is>
          <t>Necesito:</t>
        </is>
      </c>
      <c r="E22" s="19" t="n"/>
      <c r="F22" s="24" t="inlineStr">
        <is>
          <t>Con la finalidad de:</t>
        </is>
      </c>
      <c r="G22" s="19" t="n"/>
      <c r="H22" s="21">
        <f>CONCATENATE("Como  ",C22," quiero ", E22," para ",G22)</f>
        <v/>
      </c>
      <c r="I22" s="21" t="n"/>
      <c r="J22" s="19" t="n"/>
      <c r="K22" s="19" t="n"/>
      <c r="L22" s="19" t="n"/>
      <c r="M22" s="19" t="n"/>
      <c r="N22" s="19" t="n"/>
      <c r="O22" s="13" t="n"/>
      <c r="P22" s="13" t="n"/>
      <c r="Q22" s="13" t="n"/>
      <c r="R22" s="13" t="n"/>
      <c r="S22" s="13" t="n"/>
      <c r="T22" s="13" t="n"/>
      <c r="U22" s="13" t="n"/>
      <c r="V22" s="13" t="n"/>
      <c r="W22" s="13" t="n"/>
    </row>
    <row r="23" ht="30" customHeight="1">
      <c r="B23" s="19" t="n"/>
      <c r="C23" s="19" t="n"/>
      <c r="D23" s="24" t="inlineStr">
        <is>
          <t>Necesito:</t>
        </is>
      </c>
      <c r="E23" s="19" t="n"/>
      <c r="F23" s="24" t="inlineStr">
        <is>
          <t>Con la finalidad de:</t>
        </is>
      </c>
      <c r="G23" s="19" t="n"/>
      <c r="H23" s="21">
        <f>CONCATENATE("Como  ",C23," quiero ", E23," para ",G23)</f>
        <v/>
      </c>
      <c r="I23" s="21" t="n"/>
      <c r="J23" s="19" t="n"/>
      <c r="K23" s="19" t="n"/>
      <c r="L23" s="19" t="n"/>
      <c r="M23" s="19" t="n"/>
      <c r="N23" s="19" t="n"/>
      <c r="O23" s="13" t="n"/>
      <c r="P23" s="13" t="n"/>
      <c r="Q23" s="13" t="n"/>
      <c r="R23" s="13" t="n"/>
      <c r="S23" s="13" t="n"/>
      <c r="T23" s="13" t="n"/>
      <c r="U23" s="13" t="n"/>
      <c r="V23" s="13" t="n"/>
      <c r="W23" s="13" t="n"/>
    </row>
    <row r="24" ht="30" customHeight="1">
      <c r="B24" s="19" t="n"/>
      <c r="C24" s="19" t="n"/>
      <c r="D24" s="24" t="inlineStr">
        <is>
          <t>Necesito:</t>
        </is>
      </c>
      <c r="E24" s="19" t="n"/>
      <c r="F24" s="24" t="inlineStr">
        <is>
          <t>Con la finalidad de:</t>
        </is>
      </c>
      <c r="G24" s="19" t="n"/>
      <c r="H24" s="21">
        <f>CONCATENATE("Como  ",C24," quiero ", E24," para ",G24)</f>
        <v/>
      </c>
      <c r="I24" s="21" t="n"/>
      <c r="J24" s="19" t="n"/>
      <c r="K24" s="19" t="n"/>
      <c r="L24" s="19" t="n"/>
      <c r="M24" s="19" t="n"/>
      <c r="N24" s="19" t="n"/>
      <c r="O24" s="13" t="n"/>
      <c r="P24" s="13" t="n"/>
      <c r="Q24" s="13" t="n"/>
      <c r="R24" s="13" t="n"/>
      <c r="S24" s="13" t="n"/>
      <c r="T24" s="13" t="n"/>
      <c r="U24" s="13" t="n"/>
      <c r="V24" s="13" t="n"/>
      <c r="W24" s="13" t="n"/>
    </row>
    <row r="25">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row>
    <row r="26">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row>
    <row r="27">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row>
    <row r="28">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row>
    <row r="29">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row>
    <row r="30">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row>
    <row r="31">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row>
    <row r="32">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row>
    <row r="33">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row>
    <row r="34">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row>
    <row r="35">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row>
    <row r="36">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row>
    <row r="37">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row>
    <row r="38">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row>
    <row r="39">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row>
    <row r="40">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row>
    <row r="41">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row>
    <row r="42">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row>
    <row r="43">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row>
    <row r="44">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row>
    <row r="45">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row>
    <row r="46">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row>
    <row r="47">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row>
    <row r="48">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row>
    <row r="49">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row>
    <row r="50">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row>
    <row r="51">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row>
    <row r="52">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row>
    <row r="53">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row>
    <row r="54">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row>
    <row r="55">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row>
    <row r="56">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row>
    <row r="57">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row>
    <row r="58">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row>
    <row r="59">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row>
    <row r="60">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row>
    <row r="61">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row>
    <row r="62">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row>
    <row r="63">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row>
    <row r="64">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row>
    <row r="65">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row>
    <row r="66">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row>
    <row r="67">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row>
    <row r="68">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row>
    <row r="69">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row>
    <row r="70">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row>
    <row r="71">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row>
    <row r="72">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row>
    <row r="73">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row>
    <row r="74">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row>
    <row r="75">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row>
    <row r="76">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row>
    <row r="77">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row>
    <row r="78">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row>
    <row r="79">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row>
    <row r="80">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row>
    <row r="81">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row>
    <row r="82">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row>
    <row r="83">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row>
    <row r="84">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row>
    <row r="85">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row>
    <row r="86">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row>
    <row r="87">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row>
    <row r="88">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row>
    <row r="89">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row>
    <row r="90">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row>
    <row r="91">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row>
    <row r="92">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row>
    <row r="93">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row>
    <row r="94">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row>
    <row r="95">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row>
    <row r="96">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row>
    <row r="97">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row>
    <row r="98">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row>
    <row r="99">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row>
    <row r="100">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row>
    <row r="101">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row>
    <row r="102">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row>
    <row r="103">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row>
    <row r="104">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row>
    <row r="105">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row>
    <row r="106">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row>
    <row r="107">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row>
    <row r="108">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row>
    <row r="109">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row>
    <row r="110">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row>
    <row r="111">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row>
    <row r="112">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row>
    <row r="113">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row>
    <row r="114">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row>
    <row r="115">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row>
    <row r="116">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row>
    <row r="117">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row>
    <row r="118">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row>
    <row r="119">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row>
    <row r="120">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row>
    <row r="121">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row>
    <row r="122">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row>
    <row r="123">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row>
    <row r="124">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row>
    <row r="125">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row>
    <row r="126">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row>
    <row r="127">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row>
    <row r="128">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row>
    <row r="129">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row>
    <row r="130">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row>
    <row r="131">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row>
    <row r="132">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row>
    <row r="133">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row>
    <row r="134">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row>
    <row r="135">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row>
    <row r="136">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row>
    <row r="137">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row>
    <row r="138">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row>
    <row r="139">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row>
    <row r="140">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row>
    <row r="141">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row>
    <row r="142">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row>
    <row r="143">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row>
    <row r="144">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row>
    <row r="145">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row>
    <row r="146">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row>
    <row r="147">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row>
    <row r="148">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row>
    <row r="149">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row>
    <row r="150">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row>
    <row r="151">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row>
    <row r="152">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row>
    <row r="153">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row>
    <row r="154">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row>
    <row r="155">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row>
    <row r="156">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row>
    <row r="157">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row>
    <row r="158">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row>
    <row r="159">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row>
    <row r="160">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row>
    <row r="161">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row>
    <row r="162">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row>
    <row r="163">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row>
    <row r="164">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row>
    <row r="165">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row>
    <row r="166">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row>
    <row r="167">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row>
    <row r="168">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row>
    <row r="169">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row>
    <row r="170">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row>
    <row r="171">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row>
    <row r="172">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row>
    <row r="173">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row>
    <row r="174">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row>
    <row r="175">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row>
    <row r="176">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row>
    <row r="177">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row>
    <row r="178">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row>
    <row r="179">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row>
    <row r="180">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row>
    <row r="181">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row>
    <row r="182">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row>
    <row r="183">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row>
    <row r="184">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row>
    <row r="185">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row>
    <row r="186">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row>
    <row r="187">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row>
    <row r="188">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row>
    <row r="189">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row>
    <row r="190">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row>
    <row r="191">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row>
    <row r="192">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row>
    <row r="193">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row>
    <row r="194">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row>
    <row r="195">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row>
    <row r="196">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row>
    <row r="197">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row>
    <row r="198">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row>
    <row r="199">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row>
    <row r="200">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row>
    <row r="201">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row>
    <row r="202">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row>
    <row r="203">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row>
    <row r="204">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row>
    <row r="205">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row>
    <row r="206">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row>
    <row r="207">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row>
    <row r="208">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row>
    <row r="209">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row>
    <row r="210">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row>
    <row r="211">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row>
    <row r="212">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row>
    <row r="213">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row>
    <row r="214">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row>
    <row r="215">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row>
    <row r="216">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row>
    <row r="217">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row>
    <row r="218">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row>
    <row r="219">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row>
    <row r="220">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row>
    <row r="221">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row>
    <row r="222">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row>
    <row r="223">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row>
    <row r="224">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row>
    <row r="225">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row>
    <row r="226">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row>
    <row r="227">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row>
    <row r="228">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row>
    <row r="229">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row>
    <row r="230">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row>
    <row r="231">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row>
    <row r="232">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row>
    <row r="233">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row>
    <row r="234">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row>
    <row r="235">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row>
    <row r="236">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row>
    <row r="237">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row>
    <row r="238">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row>
    <row r="239">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row>
    <row r="240">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row>
    <row r="241">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row>
    <row r="242">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row>
    <row r="243">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row>
    <row r="244">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row>
    <row r="245">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row>
    <row r="246">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row>
    <row r="247">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row>
    <row r="248">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row>
    <row r="249">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row>
    <row r="250">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row>
    <row r="251">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row>
    <row r="252">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row>
    <row r="253">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row>
    <row r="254">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row>
    <row r="255">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row>
    <row r="256">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row>
    <row r="257">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row>
    <row r="258">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row>
    <row r="259">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row>
    <row r="260">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row>
    <row r="261">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row>
    <row r="262">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row>
    <row r="263">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row>
    <row r="264">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row>
    <row r="265">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row>
    <row r="266">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row>
    <row r="267">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row>
    <row r="268">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row>
    <row r="269">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row>
    <row r="270">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row>
    <row r="271">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row>
    <row r="272">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row>
    <row r="273">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row>
    <row r="274">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row>
    <row r="275">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row>
    <row r="276">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row>
    <row r="277">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row>
    <row r="278">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row>
    <row r="279">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row>
    <row r="280">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row>
    <row r="281">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row>
    <row r="282">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row>
    <row r="283">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row>
    <row r="284">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row>
    <row r="285">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row>
    <row r="286">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row>
    <row r="287">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row>
    <row r="288">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row>
    <row r="289">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row>
    <row r="290">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row>
    <row r="291">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row>
    <row r="292">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row>
    <row r="293">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row>
    <row r="294">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row>
    <row r="295">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row>
    <row r="296">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row>
    <row r="297">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row>
    <row r="298">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row>
    <row r="299">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row>
    <row r="300">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row>
    <row r="301">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row>
    <row r="302">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row>
    <row r="303">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row>
    <row r="304">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row>
    <row r="305">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row>
    <row r="306">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row>
    <row r="307">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row>
    <row r="308">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row>
    <row r="309">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row>
    <row r="310">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row>
    <row r="311">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row>
    <row r="312">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row>
    <row r="313">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row>
    <row r="314">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row>
    <row r="315">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row>
    <row r="316">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row>
    <row r="317">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row>
    <row r="318">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row>
    <row r="319">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row>
    <row r="320">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row>
    <row r="321">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row>
    <row r="322">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row>
    <row r="323">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row>
    <row r="324">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row>
    <row r="325">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row>
    <row r="326">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row>
    <row r="327">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row>
    <row r="328">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row>
    <row r="329">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row>
    <row r="330">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row>
    <row r="331">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row>
    <row r="332">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row>
    <row r="333">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row>
    <row r="334">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row>
    <row r="335">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row>
    <row r="336">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row>
    <row r="337">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row>
    <row r="338">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row>
    <row r="339">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row>
    <row r="340">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row>
    <row r="341">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row>
    <row r="342">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row>
    <row r="343">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row>
    <row r="344">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row>
    <row r="345">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row>
    <row r="346">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row>
    <row r="347">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row>
    <row r="348">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row>
    <row r="349">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row>
    <row r="350">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row>
    <row r="351">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row>
    <row r="352">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row>
    <row r="353">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row>
    <row r="354">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row>
    <row r="355">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row>
    <row r="356">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row>
    <row r="357">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row>
    <row r="358">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row>
    <row r="359">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row>
    <row r="360">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row>
    <row r="361">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row>
    <row r="362">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row>
    <row r="363">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row>
    <row r="364">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row>
    <row r="365">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row>
    <row r="366">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row>
    <row r="367">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row>
    <row r="368">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row>
    <row r="369">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row>
    <row r="370">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row>
    <row r="371">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row>
    <row r="372">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row>
    <row r="373">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row>
    <row r="374">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row>
    <row r="375">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row>
    <row r="376">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row>
    <row r="377">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row>
    <row r="378">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row>
    <row r="379">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row>
    <row r="380">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row>
    <row r="381">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row>
    <row r="382">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row>
    <row r="383">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row>
    <row r="384">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row>
    <row r="385">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row>
    <row r="386">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row>
    <row r="387">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row>
    <row r="388">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row>
    <row r="389">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row>
    <row r="390">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row>
    <row r="391">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row>
    <row r="392">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row>
    <row r="393">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row>
    <row r="394">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row>
    <row r="395">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row>
    <row r="396">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row>
    <row r="397">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row>
    <row r="398">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row>
    <row r="399">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row>
    <row r="400">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row>
    <row r="401">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row>
    <row r="402">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row>
    <row r="403">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row>
    <row r="404">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row>
    <row r="405">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row>
    <row r="406">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row>
    <row r="407">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row>
    <row r="408">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row>
    <row r="409">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row>
    <row r="410">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row>
    <row r="411">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row>
    <row r="412">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row>
    <row r="413">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row>
    <row r="414">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row>
    <row r="415">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row>
    <row r="416">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row>
    <row r="417">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row>
    <row r="418">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row>
    <row r="419">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row>
    <row r="420">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row>
    <row r="421">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row>
    <row r="422">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row>
    <row r="423">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row>
    <row r="424">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row>
    <row r="425">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row>
    <row r="426">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row>
    <row r="427">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row>
    <row r="428">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row>
    <row r="429">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row>
    <row r="430">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row>
    <row r="431">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row>
    <row r="432">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row>
    <row r="433">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row>
    <row r="434">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row>
    <row r="435">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row>
    <row r="436">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row>
    <row r="437">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row>
    <row r="438">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row>
    <row r="439">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row>
    <row r="440">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row>
    <row r="441">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row>
    <row r="442">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row>
    <row r="443">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row>
    <row r="444">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row>
    <row r="445">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row>
    <row r="446">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row>
    <row r="447">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row>
    <row r="448">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row>
    <row r="449">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row>
    <row r="450">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row>
    <row r="451">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row>
    <row r="452">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row>
    <row r="453">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row>
    <row r="454">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row>
    <row r="455">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row>
    <row r="456">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row>
    <row r="457">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row>
    <row r="458">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row>
    <row r="459">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row>
    <row r="460">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row>
    <row r="461">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row>
    <row r="462">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row>
    <row r="463">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row>
    <row r="464">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row>
    <row r="465">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row>
    <row r="466">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row>
    <row r="467">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row>
    <row r="468">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row>
    <row r="469">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row>
    <row r="470">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row>
    <row r="471">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row>
    <row r="472">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row>
    <row r="473">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row>
    <row r="474">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row>
    <row r="475">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row>
    <row r="476">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row>
    <row r="477">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row>
    <row r="478">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row>
    <row r="479">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row>
    <row r="480">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row>
    <row r="481">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row>
    <row r="482">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row>
    <row r="483">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row>
    <row r="484">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row>
    <row r="485">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row>
    <row r="486">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row>
    <row r="487">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row>
    <row r="488">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row>
    <row r="489">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row>
    <row r="490">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row>
    <row r="491">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row>
    <row r="492">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row>
    <row r="493">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row>
    <row r="494">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row>
    <row r="495">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row>
    <row r="496">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row>
    <row r="497">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row>
    <row r="498">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row>
    <row r="499">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row>
    <row r="500">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row>
    <row r="501">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row>
    <row r="502">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row>
    <row r="503">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row>
    <row r="504">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row>
    <row r="505">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row>
    <row r="506">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row>
    <row r="507">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row>
    <row r="508">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row>
    <row r="509">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row>
    <row r="510">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row>
    <row r="511">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row>
    <row r="512">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row>
    <row r="513">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row>
    <row r="514">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row>
    <row r="515">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row>
    <row r="516">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row>
    <row r="517">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row>
    <row r="518">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row>
    <row r="519">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row>
    <row r="520">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row>
    <row r="521">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row>
    <row r="522">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row>
    <row r="523">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row>
    <row r="524">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row>
    <row r="525">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row>
    <row r="526">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row>
    <row r="527">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row>
    <row r="528">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row>
    <row r="529">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row>
    <row r="530">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row>
  </sheetData>
  <mergeCells count="5">
    <mergeCell ref="F3:G3"/>
    <mergeCell ref="K2:N2"/>
    <mergeCell ref="D3:E3"/>
    <mergeCell ref="B2:J2"/>
    <mergeCell ref="I3:J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2026-10-18T13:37:59Z</dcterms:modified>
  <cp:lastModifiedBy>Gabriel Torres Saldaña</cp:lastModifiedBy>
</cp:coreProperties>
</file>